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mutato" sheetId="1" state="visible" r:id="rId3"/>
    <sheet name="Kartyak" sheetId="2" state="visible" r:id="rId4"/>
    <sheet name="Csuszkak" sheetId="3" state="visible" r:id="rId5"/>
    <sheet name="Tenyek" sheetId="4" state="visible" r:id="rId6"/>
    <sheet name="Feliratok" sheetId="5" state="visible" r:id="rId7"/>
    <sheet name="Zaro" sheetId="6" state="visible" r:id="rId8"/>
    <sheet name="Beallitasok" sheetId="7" state="visible" r:id="rId9"/>
    <sheet name="Statisztika" sheetId="8" state="visible" r:id="rId10"/>
    <sheet name="Osszesi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Egyedi azonosító, pl. K-001. Később ne változtasd.</t>
        </r>
      </text>
    </comment>
    <comment ref="B1" authorId="0">
      <text>
        <r>
          <rPr>
            <sz val="10"/>
            <rFont val="Arial"/>
            <family val="2"/>
          </rPr>
          <t xml:space="preserve">IGEN / NEM</t>
        </r>
      </text>
    </comment>
    <comment ref="C1" authorId="0">
      <text>
        <r>
          <rPr>
            <sz val="10"/>
            <rFont val="Arial"/>
            <family val="2"/>
          </rPr>
          <t xml:space="preserve">teny_tevhit vagy normalis_orvos</t>
        </r>
      </text>
    </comment>
    <comment ref="D1" authorId="0">
      <text>
        <r>
          <rPr>
            <sz val="10"/>
            <rFont val="Arial"/>
            <family val="2"/>
          </rPr>
          <t xml:space="preserve">A kártyán megjelenő állítás vagy tünetleírás. Max. 120 karakter.</t>
        </r>
      </text>
    </comment>
    <comment ref="E1" authorId="0">
      <text>
        <r>
          <rPr>
            <sz val="10"/>
            <rFont val="Arial"/>
            <family val="2"/>
          </rPr>
          <t xml:space="preserve">teny_tevhit: TENY / TEVHIT; normalis_orvos: NORMALIS / ORVOS</t>
        </r>
      </text>
    </comment>
    <comment ref="F1" authorId="0">
      <text>
        <r>
          <rPr>
            <sz val="10"/>
            <rFont val="Arial"/>
            <family val="2"/>
          </rPr>
          <t xml:space="preserve">Válasz után néhány másodpercig látható magyarázat. Max. 280 karakter.</t>
        </r>
      </text>
    </comment>
    <comment ref="G1" authorId="0">
      <text>
        <r>
          <rPr>
            <sz val="10"/>
            <rFont val="Arial"/>
            <family val="2"/>
          </rPr>
          <t xml:space="preserve">Belső: melyik kiadvány, hányadik oldal. Nem jelenik meg.</t>
        </r>
      </text>
    </comment>
    <comment ref="H1" authorId="0">
      <text>
        <r>
          <rPr>
            <sz val="10"/>
            <rFont val="Arial"/>
            <family val="2"/>
          </rPr>
          <t xml:space="preserve">Belső megjegyzés. Nem jelenik meg.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Egyedi azonosító, pl. CS-001.</t>
        </r>
      </text>
    </comment>
    <comment ref="B1" authorId="0">
      <text>
        <r>
          <rPr>
            <sz val="10"/>
            <rFont val="Arial"/>
            <family val="2"/>
          </rPr>
          <t xml:space="preserve">IGEN / NEM</t>
        </r>
      </text>
    </comment>
    <comment ref="C1" authorId="0">
      <text>
        <r>
          <rPr>
            <sz val="10"/>
            <rFont val="Arial"/>
            <family val="2"/>
          </rPr>
          <t xml:space="preserve">A kérdés. Max. 120 karakter.</t>
        </r>
      </text>
    </comment>
    <comment ref="D1" authorId="0">
      <text>
        <r>
          <rPr>
            <sz val="10"/>
            <rFont val="Arial"/>
            <family val="2"/>
          </rPr>
          <t xml:space="preserve">A csúszka legkisebb értéke (szám).</t>
        </r>
      </text>
    </comment>
    <comment ref="E1" authorId="0">
      <text>
        <r>
          <rPr>
            <sz val="10"/>
            <rFont val="Arial"/>
            <family val="2"/>
          </rPr>
          <t xml:space="preserve">A csúszka legnagyobb értéke (szám).</t>
        </r>
      </text>
    </comment>
    <comment ref="F1" authorId="0">
      <text>
        <r>
          <rPr>
            <sz val="10"/>
            <rFont val="Arial"/>
            <family val="2"/>
          </rPr>
          <t xml:space="preserve">Lépésköz, pl. 1, 5, 1000.</t>
        </r>
      </text>
    </comment>
    <comment ref="G1" authorId="0">
      <text>
        <r>
          <rPr>
            <sz val="10"/>
            <rFont val="Arial"/>
            <family val="2"/>
          </rPr>
          <t xml:space="preserve">A helyes szám; min és max közé kell essen.</t>
        </r>
      </text>
    </comment>
    <comment ref="H1" authorId="0">
      <text>
        <r>
          <rPr>
            <sz val="10"/>
            <rFont val="Arial"/>
            <family val="2"/>
          </rPr>
          <t xml:space="preserve">Ennyivel térhet el a tipp, hogy még helyesnek számítson (ugyanabban a mértékegységben). 0 = csak a pontos érték.</t>
        </r>
      </text>
    </comment>
    <comment ref="I1" authorId="0">
      <text>
        <r>
          <rPr>
            <sz val="10"/>
            <rFont val="Arial"/>
            <family val="2"/>
          </rPr>
          <t xml:space="preserve">A szám után kiírt egység, pl. év, %, nő. Lehet üres.</t>
        </r>
      </text>
    </comment>
    <comment ref="J1" authorId="0">
      <text>
        <r>
          <rPr>
            <sz val="10"/>
            <rFont val="Arial"/>
            <family val="2"/>
          </rPr>
          <t xml:space="preserve">Max. 280 karakter.</t>
        </r>
      </text>
    </comment>
    <comment ref="K1" authorId="0">
      <text>
        <r>
          <rPr>
            <sz val="10"/>
            <rFont val="Arial"/>
            <family val="2"/>
          </rPr>
          <t xml:space="preserve">Belső, nem jelenik meg.</t>
        </r>
      </text>
    </comment>
    <comment ref="L1" authorId="0">
      <text>
        <r>
          <rPr>
            <sz val="10"/>
            <rFont val="Arial"/>
            <family val="2"/>
          </rPr>
          <t xml:space="preserve">Belső, nem jelenik meg.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Egyedi azonosító, pl. T-001.</t>
        </r>
      </text>
    </comment>
    <comment ref="B1" authorId="0">
      <text>
        <r>
          <rPr>
            <sz val="10"/>
            <rFont val="Arial"/>
            <family val="2"/>
          </rPr>
          <t xml:space="preserve">IGEN / NEM</t>
        </r>
      </text>
    </comment>
    <comment ref="C1" authorId="0">
      <text>
        <r>
          <rPr>
            <sz val="10"/>
            <rFont val="Arial"/>
            <family val="2"/>
          </rPr>
          <t xml:space="preserve">Nagy, kiemelt rész (általában szám), pl. 200 000+. Lehet üres.</t>
        </r>
      </text>
    </comment>
    <comment ref="D1" authorId="0">
      <text>
        <r>
          <rPr>
            <sz val="10"/>
            <rFont val="Arial"/>
            <family val="2"/>
          </rPr>
          <t xml:space="preserve">A tény szövege. Max. 120 karakter.</t>
        </r>
      </text>
    </comment>
    <comment ref="E1" authorId="0">
      <text>
        <r>
          <rPr>
            <sz val="10"/>
            <rFont val="Arial"/>
            <family val="2"/>
          </rPr>
          <t xml:space="preserve">Belső, nem jelenik meg.</t>
        </r>
      </text>
    </comment>
    <comment ref="F1" authorId="0">
      <text>
        <r>
          <rPr>
            <sz val="10"/>
            <rFont val="Arial"/>
            <family val="2"/>
          </rPr>
          <t xml:space="preserve">Belső, nem jelenik meg.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 játék ezzel keresi a szöveget. NE írd át.</t>
        </r>
      </text>
    </comment>
    <comment ref="B1" authorId="0">
      <text>
        <r>
          <rPr>
            <sz val="10"/>
            <rFont val="Arial"/>
            <family val="2"/>
          </rPr>
          <t xml:space="preserve">A megjelenő szöveg. Üres = beépített alapszöveg.</t>
        </r>
      </text>
    </comment>
    <comment ref="C1" authorId="0">
      <text>
        <r>
          <rPr>
            <sz val="10"/>
            <rFont val="Arial"/>
            <family val="2"/>
          </rPr>
          <t xml:space="preserve">Leírás, nem jelenik meg.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Egyedi azonosító, pl. Z-001.</t>
        </r>
      </text>
    </comment>
    <comment ref="B1" authorId="0">
      <text>
        <r>
          <rPr>
            <sz val="10"/>
            <rFont val="Arial"/>
            <family val="2"/>
          </rPr>
          <t xml:space="preserve">IGEN / NEM</t>
        </r>
      </text>
    </comment>
    <comment ref="C1" authorId="0">
      <text>
        <r>
          <rPr>
            <sz val="10"/>
            <rFont val="Arial"/>
            <family val="2"/>
          </rPr>
          <t xml:space="preserve">Megjelenési sorrend (1, 2, 3 …).</t>
        </r>
      </text>
    </comment>
    <comment ref="D1" authorId="0">
      <text>
        <r>
          <rPr>
            <sz val="10"/>
            <rFont val="Arial"/>
            <family val="2"/>
          </rPr>
          <t xml:space="preserve">A QR-kód fölötti cím.</t>
        </r>
      </text>
    </comment>
    <comment ref="E1" authorId="0">
      <text>
        <r>
          <rPr>
            <sz val="10"/>
            <rFont val="Arial"/>
            <family val="2"/>
          </rPr>
          <t xml:space="preserve">Rövid leírás a QR-kód alatt. Max. 100 karakter.</t>
        </r>
      </text>
    </comment>
    <comment ref="F1" authorId="0">
      <text>
        <r>
          <rPr>
            <sz val="10"/>
            <rFont val="Arial"/>
            <family val="2"/>
          </rPr>
          <t xml:space="preserve">A QR-kód célja, https://-sel kezdődjön.</t>
        </r>
      </text>
    </comment>
    <comment ref="G1" authorId="0">
      <text>
        <r>
          <rPr>
            <sz val="10"/>
            <rFont val="Arial"/>
            <family val="2"/>
          </rPr>
          <t xml:space="preserve">Nagyban kiírt szöveg a kód mellett, pl. adószám. Lehet üres.</t>
        </r>
      </text>
    </comment>
    <comment ref="H1" authorId="0">
      <text>
        <r>
          <rPr>
            <sz val="10"/>
            <rFont val="Arial"/>
            <family val="2"/>
          </rPr>
          <t xml:space="preserve">Belső, nem jelenik meg.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 játék ezzel keresi az értéket. NE írd át.</t>
        </r>
      </text>
    </comment>
    <comment ref="B1" authorId="0">
      <text>
        <r>
          <rPr>
            <sz val="10"/>
            <rFont val="Arial"/>
            <family val="2"/>
          </rPr>
          <t xml:space="preserve">Szám.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Automatikus.</t>
        </r>
      </text>
    </comment>
    <comment ref="B1" authorId="0">
      <text>
        <r>
          <rPr>
            <sz val="10"/>
            <rFont val="Arial"/>
            <family val="2"/>
          </rPr>
          <t xml:space="preserve">Egy kör összes sora ugyanazt kapja.</t>
        </r>
      </text>
    </comment>
    <comment ref="C1" authorId="0">
      <text>
        <r>
          <rPr>
            <sz val="10"/>
            <rFont val="Arial"/>
            <family val="2"/>
          </rPr>
          <t xml:space="preserve">valasz = egy megválaszolt kártya; kor_vege = végigjátszott kör</t>
        </r>
      </text>
    </comment>
    <comment ref="D1" authorId="0">
      <text>
        <r>
          <rPr>
            <sz val="10"/>
            <rFont val="Arial"/>
            <family val="2"/>
          </rPr>
          <t xml:space="preserve">A kártya / csúszka id-ja.</t>
        </r>
      </text>
    </comment>
    <comment ref="E1" authorId="0">
      <text>
        <r>
          <rPr>
            <sz val="10"/>
            <rFont val="Arial"/>
            <family val="2"/>
          </rPr>
          <t xml:space="preserve">teny_tevhit / normalis_orvos / csuszka</t>
        </r>
      </text>
    </comment>
    <comment ref="F1" authorId="0">
      <text>
        <r>
          <rPr>
            <sz val="10"/>
            <rFont val="Arial"/>
            <family val="2"/>
          </rPr>
          <t xml:space="preserve">A játékos válasza (csúszkánál a tippelt szám).</t>
        </r>
      </text>
    </comment>
    <comment ref="G1" authorId="0">
      <text>
        <r>
          <rPr>
            <sz val="10"/>
            <rFont val="Arial"/>
            <family val="2"/>
          </rPr>
          <t xml:space="preserve">IGEN / NEM</t>
        </r>
      </text>
    </comment>
  </commentList>
</comments>
</file>

<file path=xl/sharedStrings.xml><?xml version="1.0" encoding="utf-8"?>
<sst xmlns="http://schemas.openxmlformats.org/spreadsheetml/2006/main" count="534" uniqueCount="358">
  <si>
    <t xml:space="preserve">DOUGHNATE – TARTALOMSABLON</t>
  </si>
  <si>
    <t xml:space="preserve">Mire való?</t>
  </si>
  <si>
    <t xml:space="preserve">Ebből a táblázatból olvassa be a játék minden szövegét és beállítását. Indításkor és néhány percenként frissíti magát.</t>
  </si>
  <si>
    <t xml:space="preserve">FÜLEK</t>
  </si>
  <si>
    <t xml:space="preserve">Kartyak</t>
  </si>
  <si>
    <t xml:space="preserve">„Tény vagy tévhit?” és „Normális vagy menj orvoshoz?” kártyák. KÖZZÉTENNI (CSV).</t>
  </si>
  <si>
    <t xml:space="preserve">Csuszkak</t>
  </si>
  <si>
    <t xml:space="preserve">„Tippeld meg a számot!” kérdések. KÖZZÉTENNI (CSV).</t>
  </si>
  <si>
    <t xml:space="preserve">Tenyek</t>
  </si>
  <si>
    <t xml:space="preserve">A kezdőképernyőn forgó, messziről olvasható tények. KÖZZÉTENNI (CSV).</t>
  </si>
  <si>
    <t xml:space="preserve">Feliratok</t>
  </si>
  <si>
    <t xml:space="preserve">Gombok, címek, visszajelzések szövegei. Üres szöveg = a játék beépített alapszövege jelenik meg. KÖZZÉTENNI (CSV).</t>
  </si>
  <si>
    <t xml:space="preserve">Zaro</t>
  </si>
  <si>
    <t xml:space="preserve">A záróképernyő QR-kódjai és linkjei. KÖZZÉTENNI (CSV).</t>
  </si>
  <si>
    <t xml:space="preserve">Beallitasok</t>
  </si>
  <si>
    <t xml:space="preserve">Számok: kártyák száma körönként, időzítések. KÖZZÉTENNI (CSV).</t>
  </si>
  <si>
    <t xml:space="preserve">Statisztika</t>
  </si>
  <si>
    <t xml:space="preserve">A tablet tölti ki automatikusan (Apps Script). NE szerkeszd, NE tedd közzé.</t>
  </si>
  <si>
    <t xml:space="preserve">Osszesites</t>
  </si>
  <si>
    <t xml:space="preserve">Képletek: lejátszott körök és a leggyakrabban elhibázott kártyák. NE tedd közzé.</t>
  </si>
  <si>
    <t xml:space="preserve">Utmutato</t>
  </si>
  <si>
    <t xml:space="preserve">Ez a fül. NE tedd közzé.</t>
  </si>
  <si>
    <t xml:space="preserve">SZABÁLYOK</t>
  </si>
  <si>
    <t xml:space="preserve">Fejléc</t>
  </si>
  <si>
    <t xml:space="preserve">Az első sor oszlopneveit ne írd át, ne töröld és ne cseréld fel – ezekből tudja a játék, mi hol van. Új oszlopot a végére tehetsz, azt a játék figyelmen kívül hagyja.</t>
  </si>
  <si>
    <t xml:space="preserve">Új sor</t>
  </si>
  <si>
    <t xml:space="preserve">Új kártyánál másold le egy meglévő sor formátumát, és adj neki új, egyedi id-t.</t>
  </si>
  <si>
    <t xml:space="preserve">id</t>
  </si>
  <si>
    <t xml:space="preserve">Minden sornak egyedi azonosító kell, szóköz nélkül (pl. K-001, CS-001, T-001, Z-001). A statisztika ezzel azonosítja a kártyát, ezért később ne változtasd meg.</t>
  </si>
  <si>
    <t xml:space="preserve">aktiv</t>
  </si>
  <si>
    <t xml:space="preserve">IGEN = szerepel a játékban, NEM = rejtve. Sort törlés helyett inkább kapcsolj NEM-re.</t>
  </si>
  <si>
    <t xml:space="preserve">Hibás sor</t>
  </si>
  <si>
    <t xml:space="preserve">A hiányos vagy hibás sort a játék kihagyja, nem omlik össze. Hibásnak számít: hiányzó id/szöveg, ismeretlen típus, a típushoz nem illő helyes válasz, csúszkánál nem szám érték, vagy ha a helyes érték kívül esik a min–max tartományon.</t>
  </si>
  <si>
    <t xml:space="preserve">Piros cella</t>
  </si>
  <si>
    <t xml:space="preserve">Túl hosszú szöveg (tableten nem fér ki). Kártyaállítás max. 120, magyarázat max. 280, forgó tény max. 120 karakter.</t>
  </si>
  <si>
    <t xml:space="preserve">Típus-válasz</t>
  </si>
  <si>
    <t xml:space="preserve">teny_tevhit típusnál a helyes válasz TENY vagy TEVHIT; normalis_orvos típusnál NORMALIS vagy ORVOS. Ha nem illik össze, a sor pirosra vált.</t>
  </si>
  <si>
    <t xml:space="preserve">TARTALMI HATÁROK</t>
  </si>
  <si>
    <t xml:space="preserve">Nem diagnózis</t>
  </si>
  <si>
    <t xml:space="preserve">A játék tájékoztat, nem diagnosztizál. A normalis_orvos kártyák alatt mindig megjelenik a Feliratok fül „orvos_lablec” szövege (nőgyógyász + szakértőlista).</t>
  </si>
  <si>
    <t xml:space="preserve">Gyógyszerek</t>
  </si>
  <si>
    <t xml:space="preserve">Gyógyszernév és adagolás nem kerülhet a játékba.</t>
  </si>
  <si>
    <t xml:space="preserve">Étrend</t>
  </si>
  <si>
    <t xml:space="preserve">Étrendi állítás csak „a Kisokos szerint” kerettel.</t>
  </si>
  <si>
    <t xml:space="preserve">Gyerekek</t>
  </si>
  <si>
    <t xml:space="preserve">A vásáron gyerekek is lehetnek: szexualitásról csak általános szinten.</t>
  </si>
  <si>
    <t xml:space="preserve">KÖZZÉTÉTEL</t>
  </si>
  <si>
    <t xml:space="preserve">Egyszer kell</t>
  </si>
  <si>
    <t xml:space="preserve">Google Táblázatban: Fájl → Megosztás → Közzététel az interneten. Válaszd ki egyenként a 6 tartalmi fület, formátum: CSV. A kapott 6 linket küldd el a fejlesztőnek (vagy írd a config fájlba).</t>
  </si>
  <si>
    <t xml:space="preserve">Frissülés</t>
  </si>
  <si>
    <t xml:space="preserve">Szerkesztés után a változás kb. 5–10 percen belül jelenik meg a tableten (a Google is gyorsítótáraz). Ha nincs internet, a tablet az utoljára betöltött tartalommal fut tovább.</t>
  </si>
  <si>
    <t xml:space="preserve">tipus</t>
  </si>
  <si>
    <t xml:space="preserve">allitas</t>
  </si>
  <si>
    <t xml:space="preserve">helyes_valasz</t>
  </si>
  <si>
    <t xml:space="preserve">magyarazat</t>
  </si>
  <si>
    <t xml:space="preserve">forras</t>
  </si>
  <si>
    <t xml:space="preserve">megjegyzes</t>
  </si>
  <si>
    <t xml:space="preserve">K-001</t>
  </si>
  <si>
    <t xml:space="preserve">IGEN</t>
  </si>
  <si>
    <t xml:space="preserve">teny_tevhit</t>
  </si>
  <si>
    <t xml:space="preserve">A nagyon erős menstruációs fájdalom természetes, ki kell bírni.</t>
  </si>
  <si>
    <t xml:space="preserve">TEVHIT</t>
  </si>
  <si>
    <t xml:space="preserve">Kellemetlen lehet, de ha ellehetetleníti a mindennapokat, az nem normális. A fájdalmas menstruációval élők közül minden második nőnél endometriózis áll a háttérben.</t>
  </si>
  <si>
    <t xml:space="preserve">Mensi box, Tévhitek</t>
  </si>
  <si>
    <t xml:space="preserve">K-002</t>
  </si>
  <si>
    <t xml:space="preserve">Az endometriózis a termékeny korú nők kb. 10–15%-át érinti.</t>
  </si>
  <si>
    <t xml:space="preserve">TENY</t>
  </si>
  <si>
    <t xml:space="preserve">Magyarországon több mint 200 000 nő él vele – vagyis nagy eséllyel a te környezetedben is van érintett.</t>
  </si>
  <si>
    <t xml:space="preserve">Kisokos, Endometriózisról</t>
  </si>
  <si>
    <t xml:space="preserve">K-003</t>
  </si>
  <si>
    <t xml:space="preserve">Minél erősebb a fájdalom, annál súlyosabb az endometriózis.</t>
  </si>
  <si>
    <t xml:space="preserve">Nincs szoros összefüggés: enyhe forma is okozhat erős panaszt, a súlyos forma pedig akár tünetmentes is lehet.</t>
  </si>
  <si>
    <t xml:space="preserve">K-004</t>
  </si>
  <si>
    <t xml:space="preserve">Az endometriózis lehet teljesen tünetmentes is.</t>
  </si>
  <si>
    <t xml:space="preserve">Ilyenkor gyakran csak a teherbeesés nehézsége hívja fel rá a figyelmet.</t>
  </si>
  <si>
    <t xml:space="preserve">K-005</t>
  </si>
  <si>
    <t xml:space="preserve">Az endometriózis diagnózisához mindig műtét kell.</t>
  </si>
  <si>
    <t xml:space="preserve">A 2022-es európai (ESHRE) irányelv szerint ma már nem mindig: nőgyógyászati vizsgálat és hüvelyi ultrahang, néha MRI is sokat elárul. Egyes formák viszont csak műtéttel igazolhatók.</t>
  </si>
  <si>
    <t xml:space="preserve">A források eltérését a kivonat javaslata szerint fogalmaztuk</t>
  </si>
  <si>
    <t xml:space="preserve">K-006</t>
  </si>
  <si>
    <t xml:space="preserve">Az endometriózis pontos oka ismert.</t>
  </si>
  <si>
    <t xml:space="preserve">Pontos oka nem ismert. Valószínűleg genetikai és környezeti tényezők együtt játszanak szerepet.</t>
  </si>
  <si>
    <t xml:space="preserve">K-007</t>
  </si>
  <si>
    <t xml:space="preserve">Az endometriózis csak a méhet érintheti.</t>
  </si>
  <si>
    <t xml:space="preserve">A méhnyálkahártyához hasonló szövet a méh üregén kívül jelenik meg: leggyakrabban a petefészken és a hashártyán, de a belet, a húgyhólyagot, ritkán a rekeszizmot is érintheti.</t>
  </si>
  <si>
    <t xml:space="preserve">K-008</t>
  </si>
  <si>
    <t xml:space="preserve">Menstruáció alatt is lehet sportolni és úszni.</t>
  </si>
  <si>
    <t xml:space="preserve">Biztonságos, és még a görcsöket is csökkentheti. Menstruálva olimpiai aranyat is nyertek már.</t>
  </si>
  <si>
    <t xml:space="preserve">K-009</t>
  </si>
  <si>
    <t xml:space="preserve">A menstruációs vérrel méreganyagok távoznak a testből.</t>
  </si>
  <si>
    <t xml:space="preserve">A menstruációs vér egyszerű vér, kevés szövettel és hüvelyváladékkal. Nincs benne méreg, nem „tisztulás”.</t>
  </si>
  <si>
    <t xml:space="preserve">K-010</t>
  </si>
  <si>
    <t xml:space="preserve">A menstruáció kínos téma, jobb nem beszélni róla.</t>
  </si>
  <si>
    <t xml:space="preserve">A Föld népességének fele menstruál, menstruált vagy fog. Nyugodtan nevezd nevén – a hallgatás csak késlelteti, hogy valaki segítséget kérjen.</t>
  </si>
  <si>
    <t xml:space="preserve">K-011</t>
  </si>
  <si>
    <t xml:space="preserve">Az első években a rendszertelen ciklus teljesen normális lehet.</t>
  </si>
  <si>
    <t xml:space="preserve">Az első években nem minden hónapban van peteérés, ezért a ciklus 21 és 45 nap között bármilyen lehet. A testnek „be kell gyakorolnia”.</t>
  </si>
  <si>
    <t xml:space="preserve">Mensi box, Mi normális és mi nem</t>
  </si>
  <si>
    <t xml:space="preserve">K-012</t>
  </si>
  <si>
    <t xml:space="preserve">Magyarországon átlagosan 4 év telik el az első tünetektől a diagnózisig.</t>
  </si>
  <si>
    <t xml:space="preserve">Közép-Európában 4–10 év. Ez idő alatt sokan azt hallják: „ez csak menstruációs fájdalom”. Az alapítvány azért dolgozik, hogy ez az idő rövidüljön.</t>
  </si>
  <si>
    <t xml:space="preserve">K-013</t>
  </si>
  <si>
    <t xml:space="preserve">Endometriózis csak idősebb, már szült nőknél fordul elő.</t>
  </si>
  <si>
    <t xml:space="preserve">Fiatal, még nem szült nőknél is előfordul, ezért a kamaszkori erős menstruációs fájdalmat sem szabad legyinteni.</t>
  </si>
  <si>
    <t xml:space="preserve">K-014</t>
  </si>
  <si>
    <t xml:space="preserve">A női eredetű meddőség hátterében kb. 30%-ban endometriózis áll.</t>
  </si>
  <si>
    <t xml:space="preserve">Ezért a meddőségi kivizsgálásnál mindig gondolni kell rá. A korai felismerés itt is számít.</t>
  </si>
  <si>
    <t xml:space="preserve">K-015</t>
  </si>
  <si>
    <t xml:space="preserve">Aki endometriózissal él, annak biztosan nem lehet gyereke.</t>
  </si>
  <si>
    <t xml:space="preserve">Az érintettek kb. 30–40%-ánál fordul elő meddőség – sokuknak tehát lehet gyermeke. Mivel az esélyek az idővel romolhatnak, a korai felismerés fontos.</t>
  </si>
  <si>
    <t xml:space="preserve">K-016</t>
  </si>
  <si>
    <t xml:space="preserve">A menstruációs görcs azt jelenti, hogy a méh dolgozik.</t>
  </si>
  <si>
    <t xml:space="preserve">Percenként akár 6-szor is összehúzódhat. Az enyhe, „elmaszatolt” alhasi fájdalom normális – az ágyhoz kötő fájdalom viszont nem.</t>
  </si>
  <si>
    <t xml:space="preserve">K-017</t>
  </si>
  <si>
    <t xml:space="preserve">Az endometriózis csak a nőket érinti, a környezetüknek nincs dolga vele.</t>
  </si>
  <si>
    <t xml:space="preserve">A fájdalom a párkapcsolatot, a családot és a munkát is megterheli. Ha tudod, mi ez, megértéssel és bátorítással sokat segíthetsz, hogy valaki időben szakértőhöz jusson.</t>
  </si>
  <si>
    <t xml:space="preserve">Férfiaknak is szóló kártya</t>
  </si>
  <si>
    <t xml:space="preserve">K-018</t>
  </si>
  <si>
    <t xml:space="preserve">Endometriózisnál a panaszok a menstruáció alatt rendszerint erősebbek.</t>
  </si>
  <si>
    <t xml:space="preserve">A gócok a ciklus hormonjaira reagálnak, ezért erősödnek a panaszok a vérzés idején. Vannak azonban ciklustól független tünetek is.</t>
  </si>
  <si>
    <t xml:space="preserve">K-019</t>
  </si>
  <si>
    <t xml:space="preserve">Az alapítvány kisokosa szerint a kezelés mellett az étrend és a mozgás is fontos.</t>
  </si>
  <si>
    <t xml:space="preserve">A Kisokos szerint a gyógyszeres kezelés mellett kiemelten fontos a megfelelő étrend és a rendszeres mozgás. Hatásuk klinikailag nem bizonyított, ezért az étrendet mindig dietetikussal érdemes összeállítani.</t>
  </si>
  <si>
    <t xml:space="preserve">Kisokos, Életmód és táplálkozás</t>
  </si>
  <si>
    <t xml:space="preserve">Étrendi állítás: csak „a Kisokos szerint” keretben</t>
  </si>
  <si>
    <t xml:space="preserve">K-020</t>
  </si>
  <si>
    <t xml:space="preserve">A menstruáció egy ciklus vége és egyben a következő kezdete.</t>
  </si>
  <si>
    <t xml:space="preserve">A vérzés első napja a ciklus 1. napja. A ciklust az agy és a petefészek hormonális „párbeszéde” irányítja.</t>
  </si>
  <si>
    <t xml:space="preserve">Mensi box, Hogyan működik a ciklus</t>
  </si>
  <si>
    <t xml:space="preserve">K-101</t>
  </si>
  <si>
    <t xml:space="preserve">normalis_orvos</t>
  </si>
  <si>
    <t xml:space="preserve">Egy 13 éves lánynál az első két évben a ciklus hol 25, hol 40 napos.</t>
  </si>
  <si>
    <t xml:space="preserve">NORMALIS</t>
  </si>
  <si>
    <t xml:space="preserve">Az első években 21 és 45 nap között bármi előfordulhat, néha kimarad, néha kétszer jön egy hónapban. Ez természetes.</t>
  </si>
  <si>
    <t xml:space="preserve">K-102</t>
  </si>
  <si>
    <t xml:space="preserve">Valakinek menstruáció alatt óránként kell betétet vagy tampont cserélnie, mert átázik.</t>
  </si>
  <si>
    <t xml:space="preserve">ORVOS</t>
  </si>
  <si>
    <t xml:space="preserve">Ilyen erős vérzéssel – vagy ha kehely, menstruációs bugyi mellett is többször átázik – érdemes nőgyógyászhoz fordulni.</t>
  </si>
  <si>
    <t xml:space="preserve">K-103</t>
  </si>
  <si>
    <t xml:space="preserve">Egy felnőtt nő ciklusa 26 és 32 nap között változik.</t>
  </si>
  <si>
    <t xml:space="preserve">Felnőttkorban a 24–38 napos ciklus számít normálisnak, kisebb ingadozás belefér.</t>
  </si>
  <si>
    <t xml:space="preserve">K-104</t>
  </si>
  <si>
    <t xml:space="preserve">A vérzés 5 napig tart.</t>
  </si>
  <si>
    <t xml:space="preserve">Tiniknél 2–7 nap, felnőtteknél legfeljebb 8 nap számít normálisnak.</t>
  </si>
  <si>
    <t xml:space="preserve">K-105</t>
  </si>
  <si>
    <t xml:space="preserve">Egy felnőtt nő vérzése rendszeresen 10 napig tart.</t>
  </si>
  <si>
    <t xml:space="preserve">Felnőtteknél legfeljebb 8 nap vérzés számít normálisnak. Ennél hosszabb vérzéssel érdemes nőgyógyászhoz fordulni.</t>
  </si>
  <si>
    <t xml:space="preserve">K-106</t>
  </si>
  <si>
    <t xml:space="preserve">Egy lánynak 15 évesen még nem jött meg az első menstruációja.</t>
  </si>
  <si>
    <t xml:space="preserve">A lányok 98%-ánál 15 éves korig megjön az első menstruáció. Ha addig nem, érdemes orvossal átbeszélni.</t>
  </si>
  <si>
    <t xml:space="preserve">K-107</t>
  </si>
  <si>
    <t xml:space="preserve">Menstruáció alatt enyhe alhasi és derékfájás jelentkezik.</t>
  </si>
  <si>
    <t xml:space="preserve">A méh ilyenkor dolgozik, percenként akár 6-szor is összehúzódik. Az enyhe, „elmaszatolt” fájdalom normális.</t>
  </si>
  <si>
    <t xml:space="preserve">K-108</t>
  </si>
  <si>
    <t xml:space="preserve">A kolléganőd minden hónapban 1–2 napra ágyba kényszerül a menstruációs fájdalomtól.</t>
  </si>
  <si>
    <t xml:space="preserve">Ha a fájdalom miatt rendszeresen nem lehet dolgozni, iskolába vagy társaságba menni, az nem normális – endometriózis is állhat mögötte.</t>
  </si>
  <si>
    <t xml:space="preserve">K-109</t>
  </si>
  <si>
    <t xml:space="preserve">Kizárt terhesség mellett 90 napja nem jött meg a menstruáció.</t>
  </si>
  <si>
    <t xml:space="preserve">Az elmaradó menstruáció leggyakoribb oka a terhesség. Ha ez kizárható, és 90 napja nincs vérzés, érdemes orvoshoz fordulni.</t>
  </si>
  <si>
    <t xml:space="preserve">K-110</t>
  </si>
  <si>
    <t xml:space="preserve">Menstruáció alatt a vizelés vagy a székelés rendszeresen erősen fáj.</t>
  </si>
  <si>
    <t xml:space="preserve">Ez az endometriózis lehetséges tünetei közé tartozik. Érdemes nőgyógyásszal átbeszélni, lehetőleg endometriózisban jártas szakértővel.</t>
  </si>
  <si>
    <t xml:space="preserve">Kisokos, Tünetek</t>
  </si>
  <si>
    <t xml:space="preserve">K-111</t>
  </si>
  <si>
    <t xml:space="preserve">Hónapok óta tartó, a ciklustól független alhasi fájdalom.</t>
  </si>
  <si>
    <t xml:space="preserve">A krónikus, ciklustól független kismedencei fájdalom is lehet az endometriózis jele. Ne küzdj egyedül vele: kérj időpontot nőgyógyászhoz.</t>
  </si>
  <si>
    <t xml:space="preserve">K-112</t>
  </si>
  <si>
    <t xml:space="preserve">Menstruáció előtt pár napig enyhe puffadás, mellfeszülés, hangulatingadozás.</t>
  </si>
  <si>
    <t xml:space="preserve">Ez a ciklus második felére (luteális szakasz) jellemző PMS. Enyhe formában gyakori és természetes.</t>
  </si>
  <si>
    <t xml:space="preserve">Mensi box, A ciklus négy évszaka</t>
  </si>
  <si>
    <t xml:space="preserve">K-113</t>
  </si>
  <si>
    <t xml:space="preserve">Minden menstruáció idején visszatérő mellkasi vagy vállfájdalom.</t>
  </si>
  <si>
    <t xml:space="preserve">Ritkán az endometriózis a rekeszizmot is érintheti, és ilyen ciklushoz kötött panaszt okozhat. Érdemes szakértő orvossal kivizsgáltatni.</t>
  </si>
  <si>
    <t xml:space="preserve">Kisokos, Különleges formák</t>
  </si>
  <si>
    <t xml:space="preserve">K-114</t>
  </si>
  <si>
    <t xml:space="preserve">Az első években egy-egy hónapban kimarad a menstruáció.</t>
  </si>
  <si>
    <t xml:space="preserve">Az első években az ovuláció nem minden hónapban jön létre, ezért a vérzés néha kimaradhat. Ez a beállás része.</t>
  </si>
  <si>
    <t xml:space="preserve">kerdes</t>
  </si>
  <si>
    <t xml:space="preserve">min</t>
  </si>
  <si>
    <t xml:space="preserve">max</t>
  </si>
  <si>
    <t xml:space="preserve">lepes</t>
  </si>
  <si>
    <t xml:space="preserve">helyes_ertek</t>
  </si>
  <si>
    <t xml:space="preserve">tures</t>
  </si>
  <si>
    <t xml:space="preserve">mertekegyseg</t>
  </si>
  <si>
    <t xml:space="preserve">CS-001</t>
  </si>
  <si>
    <t xml:space="preserve">Hány nő él endometriózissal Magyarországon?</t>
  </si>
  <si>
    <t xml:space="preserve">nő</t>
  </si>
  <si>
    <t xml:space="preserve">Több mint 200 000 nő – a termékeny korú nők kb. 10–15%-a. Valószínűleg a te környezetedben is van érintett.</t>
  </si>
  <si>
    <t xml:space="preserve">Kisokos, Kulcsszámok</t>
  </si>
  <si>
    <t xml:space="preserve">CS-002</t>
  </si>
  <si>
    <t xml:space="preserve">Hány év telik el átlagosan a diagnózisig Magyarországon?</t>
  </si>
  <si>
    <t xml:space="preserve">év</t>
  </si>
  <si>
    <t xml:space="preserve">Átlagosan 4 év, Közép-Európában 4–10 év. Közben sokan azt hallják: „ez csak menstruációs fájdalom”.</t>
  </si>
  <si>
    <t xml:space="preserve">CS-003</t>
  </si>
  <si>
    <t xml:space="preserve">A fájdalmas menstruációval élők hány százalékánál áll endometriózis a háttérben?</t>
  </si>
  <si>
    <t xml:space="preserve">%</t>
  </si>
  <si>
    <t xml:space="preserve">Minden második nőnél. Ezért az erős menstruációs fájdalmat soha nem szabad legyinteni.</t>
  </si>
  <si>
    <t xml:space="preserve">CS-004</t>
  </si>
  <si>
    <t xml:space="preserve">Percenként hányszor húzódhat össze a méh menstruáció alatt?</t>
  </si>
  <si>
    <t xml:space="preserve">alkalommal</t>
  </si>
  <si>
    <t xml:space="preserve">Akár 6-szor – ezt érezzük görcsnek. Az enyhe fájdalom normális, az ágyhoz kötő nem.</t>
  </si>
  <si>
    <t xml:space="preserve">CS-005</t>
  </si>
  <si>
    <t xml:space="preserve">A lányok hány százalékánál jön meg 15 éves korig az első menstruáció?</t>
  </si>
  <si>
    <t xml:space="preserve">98%-uknál. Ha 15 évesen még nem jött meg, érdemes orvossal átbeszélni.</t>
  </si>
  <si>
    <t xml:space="preserve">kiemeles</t>
  </si>
  <si>
    <t xml:space="preserve">szoveg</t>
  </si>
  <si>
    <t xml:space="preserve">T-001</t>
  </si>
  <si>
    <t xml:space="preserve">200 000+</t>
  </si>
  <si>
    <t xml:space="preserve">nő él endometriózissal Magyarországon.</t>
  </si>
  <si>
    <t xml:space="preserve">T-002</t>
  </si>
  <si>
    <t xml:space="preserve">4 év</t>
  </si>
  <si>
    <t xml:space="preserve">telik el átlagosan az első tünetektől a diagnózisig Magyarországon.</t>
  </si>
  <si>
    <t xml:space="preserve">T-003</t>
  </si>
  <si>
    <t xml:space="preserve">Minden második</t>
  </si>
  <si>
    <t xml:space="preserve">fájdalmas menstruációval élő nőnél endometriózis áll a háttérben.</t>
  </si>
  <si>
    <t xml:space="preserve">T-004</t>
  </si>
  <si>
    <t xml:space="preserve">10–15%</t>
  </si>
  <si>
    <t xml:space="preserve">A termékeny korú nők ennyi részét érinti az endometriózis.</t>
  </si>
  <si>
    <t xml:space="preserve">T-005</t>
  </si>
  <si>
    <t xml:space="preserve">Az ágyhoz kötő menstruációs fájdalom nem normális. Nem kell kibírni.</t>
  </si>
  <si>
    <t xml:space="preserve">T-006</t>
  </si>
  <si>
    <t xml:space="preserve">~30%</t>
  </si>
  <si>
    <t xml:space="preserve">A női eredetű meddőség hátterében kb. ennyiszer áll endometriózis.</t>
  </si>
  <si>
    <t xml:space="preserve">T-007</t>
  </si>
  <si>
    <t xml:space="preserve">Fele</t>
  </si>
  <si>
    <t xml:space="preserve">A Föld népességének fele menstruál, menstruált vagy fog. Beszéljünk róla nyugodtan!</t>
  </si>
  <si>
    <t xml:space="preserve">T-008</t>
  </si>
  <si>
    <t xml:space="preserve">Az endometriózis a belet, a húgyhólyagot, ritkán a rekeszizmot is érintheti.</t>
  </si>
  <si>
    <t xml:space="preserve">T-009</t>
  </si>
  <si>
    <t xml:space="preserve">A korai felismerés számít: minél előbb jut valaki szakértőhöz, annál jobb.</t>
  </si>
  <si>
    <t xml:space="preserve">Kivonat, Fő üzenetek</t>
  </si>
  <si>
    <t xml:space="preserve">T-010</t>
  </si>
  <si>
    <t xml:space="preserve">6</t>
  </si>
  <si>
    <t xml:space="preserve">összehúzódás percenként: ennyit is végezhet a méh menstruáció alatt.</t>
  </si>
  <si>
    <t xml:space="preserve">Mensi box</t>
  </si>
  <si>
    <t xml:space="preserve">kulcs</t>
  </si>
  <si>
    <t xml:space="preserve">hol_jelenik_meg</t>
  </si>
  <si>
    <t xml:space="preserve">vonzo_cim</t>
  </si>
  <si>
    <t xml:space="preserve">Tudod, min mennek át a körülötted élő nők?</t>
  </si>
  <si>
    <t xml:space="preserve">Kezdőképernyő: fő cím a forgó tények fölött</t>
  </si>
  <si>
    <t xml:space="preserve">vonzo_felhivas</t>
  </si>
  <si>
    <t xml:space="preserve">Érintsd meg a kezdéshez!</t>
  </si>
  <si>
    <t xml:space="preserve">Kezdőképernyő: felhívás az indításra (pl. érintsd meg a kezdéshez)</t>
  </si>
  <si>
    <t xml:space="preserve">vonzo_alcim</t>
  </si>
  <si>
    <t xml:space="preserve">Rövid játék a menstruációról és az endometriózisról – kb. 90 másodperc, előzetes tudás nélkül.</t>
  </si>
  <si>
    <t xml:space="preserve">Kezdőképernyő: kisebb szöveg, pl. kör hossza, kinek szól</t>
  </si>
  <si>
    <t xml:space="preserve">tipus_teny_tevhit</t>
  </si>
  <si>
    <t xml:space="preserve">Tény vagy tévhit?</t>
  </si>
  <si>
    <t xml:space="preserve">Kártya tetején: a teny_tevhit típus címe</t>
  </si>
  <si>
    <t xml:space="preserve">gomb_teny</t>
  </si>
  <si>
    <t xml:space="preserve">Tény</t>
  </si>
  <si>
    <t xml:space="preserve">Gomb / jobbra húzás jelentése teny_tevhit kártyán</t>
  </si>
  <si>
    <t xml:space="preserve">gomb_tevhit</t>
  </si>
  <si>
    <t xml:space="preserve">Tévhit</t>
  </si>
  <si>
    <t xml:space="preserve">Gomb / balra húzás jelentése teny_tevhit kártyán</t>
  </si>
  <si>
    <t xml:space="preserve">tipus_normalis_orvos</t>
  </si>
  <si>
    <t xml:space="preserve">Normális vagy menj orvoshoz?</t>
  </si>
  <si>
    <t xml:space="preserve">Kártya tetején: a normalis_orvos típus címe</t>
  </si>
  <si>
    <t xml:space="preserve">gomb_normalis</t>
  </si>
  <si>
    <t xml:space="preserve">Normális</t>
  </si>
  <si>
    <t xml:space="preserve">Gomb / jobbra húzás jelentése normalis_orvos kártyán</t>
  </si>
  <si>
    <t xml:space="preserve">gomb_orvos</t>
  </si>
  <si>
    <t xml:space="preserve">Menj orvoshoz</t>
  </si>
  <si>
    <t xml:space="preserve">Gomb / balra húzás jelentése normalis_orvos kártyán</t>
  </si>
  <si>
    <t xml:space="preserve">huzas_tipp</t>
  </si>
  <si>
    <t xml:space="preserve">Húzd jobbra vagy balra a kártyát – vagy koppints a gombra.</t>
  </si>
  <si>
    <t xml:space="preserve">Első kártyán: rövid tipp, hogy húzni vagy koppintani lehet</t>
  </si>
  <si>
    <t xml:space="preserve">tipus_csuszka</t>
  </si>
  <si>
    <t xml:space="preserve">Tippeld meg a számot!</t>
  </si>
  <si>
    <t xml:space="preserve">Csúszkás kérdés címe</t>
  </si>
  <si>
    <t xml:space="preserve">gomb_tippelek</t>
  </si>
  <si>
    <t xml:space="preserve">Tippelek</t>
  </si>
  <si>
    <t xml:space="preserve">Csúszkás kérdés: tipp elküldése gomb</t>
  </si>
  <si>
    <t xml:space="preserve">visszajelzes_helyes</t>
  </si>
  <si>
    <t xml:space="preserve">Így van!</t>
  </si>
  <si>
    <t xml:space="preserve">Magyarázat fölött, ha jó a válasz</t>
  </si>
  <si>
    <t xml:space="preserve">visszajelzes_helytelen</t>
  </si>
  <si>
    <t xml:space="preserve">Nem egészen.</t>
  </si>
  <si>
    <t xml:space="preserve">Magyarázat fölött, ha rossz a válasz</t>
  </si>
  <si>
    <t xml:space="preserve">csuszka_helyes_ertek</t>
  </si>
  <si>
    <t xml:space="preserve">A helyes válasz:</t>
  </si>
  <si>
    <t xml:space="preserve">Csúszka után: a helyes érték előtti szöveg</t>
  </si>
  <si>
    <t xml:space="preserve">orvos_lablec</t>
  </si>
  <si>
    <t xml:space="preserve">A játék nem diagnosztizál. Ha bizonytalan vagy, beszélj nőgyógyásszal – szakértőlista: endometriozismagyarorszag.hu</t>
  </si>
  <si>
    <t xml:space="preserve">Minden normalis_orvos kártya magyarázata alatt: nőgyógyász + szakértőlista</t>
  </si>
  <si>
    <t xml:space="preserve">idle_kerdes</t>
  </si>
  <si>
    <t xml:space="preserve">Itt vagy még?</t>
  </si>
  <si>
    <t xml:space="preserve">Tétlenség után megjelenő kérdés</t>
  </si>
  <si>
    <t xml:space="preserve">idle_gomb</t>
  </si>
  <si>
    <t xml:space="preserve">Igen, folytatom</t>
  </si>
  <si>
    <t xml:space="preserve">Tétlenségi kérdés: folytatás gomb</t>
  </si>
  <si>
    <t xml:space="preserve">zaro_cim</t>
  </si>
  <si>
    <t xml:space="preserve">Köszönjük, hogy játszottál!</t>
  </si>
  <si>
    <t xml:space="preserve">Záróképernyő címe</t>
  </si>
  <si>
    <t xml:space="preserve">zaro_szoveg</t>
  </si>
  <si>
    <t xml:space="preserve">A mai vásár teljes bevétele az „Együtt könnyebb” Női Egészségért Alapítványt támogatja. Ha tovább segítenél, olvasd be a kódot!</t>
  </si>
  <si>
    <t xml:space="preserve">Záróképernyő rövid szövege a QR-kódok fölött</t>
  </si>
  <si>
    <t xml:space="preserve">zaro_qr_felhivas</t>
  </si>
  <si>
    <t xml:space="preserve">Olvasd be a telefonoddal</t>
  </si>
  <si>
    <t xml:space="preserve">Felirat a QR-kódoknál (pl. olvasd be a telefonoddal)</t>
  </si>
  <si>
    <t xml:space="preserve">gomb_uj_kor</t>
  </si>
  <si>
    <t xml:space="preserve">Új kör</t>
  </si>
  <si>
    <t xml:space="preserve">Záróképernyő: új kör indítása</t>
  </si>
  <si>
    <t xml:space="preserve">jogi_megjegyzes</t>
  </si>
  <si>
    <t xml:space="preserve">A játék tájékoztató jellegű, nem helyettesíti az orvosi vizsgálatot. Forrás: az alapítvány kiadványai.</t>
  </si>
  <si>
    <t xml:space="preserve">Apró szöveg: a játék tájékoztat, nem diagnosztizál</t>
  </si>
  <si>
    <t xml:space="preserve">sorrend</t>
  </si>
  <si>
    <t xml:space="preserve">cim</t>
  </si>
  <si>
    <t xml:space="preserve">leiras</t>
  </si>
  <si>
    <t xml:space="preserve">url</t>
  </si>
  <si>
    <t xml:space="preserve">kiemelt_szoveg</t>
  </si>
  <si>
    <t xml:space="preserve">Z-001</t>
  </si>
  <si>
    <t xml:space="preserve">Szakértők és centrumok</t>
  </si>
  <si>
    <t xml:space="preserve">Az alapítvány oldalán megtalálod a szakértők listáját és a támogatási lehetőségeket.</t>
  </si>
  <si>
    <t xml:space="preserve">https://www.endometriozismagyarorszag.hu</t>
  </si>
  <si>
    <t xml:space="preserve">Megbeszélt kezdő link</t>
  </si>
  <si>
    <t xml:space="preserve">Z-002</t>
  </si>
  <si>
    <t xml:space="preserve">NEM</t>
  </si>
  <si>
    <t xml:space="preserve">Adó 1%</t>
  </si>
  <si>
    <t xml:space="preserve">Ajánld fel adód 1%-át az alapítványnak.</t>
  </si>
  <si>
    <t xml:space="preserve">18628175-1-43</t>
  </si>
  <si>
    <t xml:space="preserve">Kikapcsolva: döntésre vár, melyik támogatási módot emeljük ki; jobb cél-URL kellene</t>
  </si>
  <si>
    <t xml:space="preserve">ertek</t>
  </si>
  <si>
    <t xml:space="preserve">kartyak_szama</t>
  </si>
  <si>
    <t xml:space="preserve">db</t>
  </si>
  <si>
    <t xml:space="preserve">Hány kártya (tény/tévhit + normális/orvos) legyen egy körben</t>
  </si>
  <si>
    <t xml:space="preserve">csuszkak_szama</t>
  </si>
  <si>
    <t xml:space="preserve">Hány csúszkás kérdés legyen egy körben</t>
  </si>
  <si>
    <t xml:space="preserve">magyarazat_ido</t>
  </si>
  <si>
    <t xml:space="preserve">mp</t>
  </si>
  <si>
    <t xml:space="preserve">Meddig látszik a magyarázat, mielőtt automatikusan továbblép</t>
  </si>
  <si>
    <t xml:space="preserve">tetlenseg_ido</t>
  </si>
  <si>
    <t xml:space="preserve">Ennyi érintés nélküli idő után jelenik meg az „Itt vagy még?”</t>
  </si>
  <si>
    <t xml:space="preserve">tetlenseg_visszaszamlalas</t>
  </si>
  <si>
    <t xml:space="preserve">Ennyi idő után áll vissza a kezdőképernyőre, ha nincs válasz</t>
  </si>
  <si>
    <t xml:space="preserve">zarokepernyo_ido</t>
  </si>
  <si>
    <t xml:space="preserve">Ennyi idő után tér vissza a záróképernyő a kezdőképernyőre</t>
  </si>
  <si>
    <t xml:space="preserve">teny_valtas_ido</t>
  </si>
  <si>
    <t xml:space="preserve">Ennyi időnként vált a kezdőképernyő forgó ténye</t>
  </si>
  <si>
    <t xml:space="preserve">tartalom_frissites</t>
  </si>
  <si>
    <t xml:space="preserve">perc</t>
  </si>
  <si>
    <t xml:space="preserve">Ilyen gyakran olvassa újra a játék ezt a táblázatot</t>
  </si>
  <si>
    <t xml:space="preserve">A kék számok javasolt kezdőértékek, szabadon módosíthatók.</t>
  </si>
  <si>
    <t xml:space="preserve">idopont</t>
  </si>
  <si>
    <t xml:space="preserve">kor_azonosito</t>
  </si>
  <si>
    <t xml:space="preserve">esemeny</t>
  </si>
  <si>
    <t xml:space="preserve">elem_id</t>
  </si>
  <si>
    <t xml:space="preserve">elem_tipus</t>
  </si>
  <si>
    <t xml:space="preserve">valasz</t>
  </si>
  <si>
    <t xml:space="preserve">helyes</t>
  </si>
  <si>
    <t xml:space="preserve">Végigjátszott körök</t>
  </si>
  <si>
    <t xml:space="preserve">Megválaszolt kérdések</t>
  </si>
  <si>
    <t xml:space="preserve">Helyes válaszok aránya</t>
  </si>
  <si>
    <t xml:space="preserve">Kártyák és csúszkák szerint (rendezd a „Hibás” oszlop szerint csökkenőbe)</t>
  </si>
  <si>
    <t xml:space="preserve">Válaszok</t>
  </si>
  <si>
    <t xml:space="preserve">Hibás</t>
  </si>
  <si>
    <t xml:space="preserve">Hibaarány</t>
  </si>
  <si>
    <t xml:space="preserve">Állítás / kérdés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</si>
</sst>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1F4B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7A1F4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1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A1F4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4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1F4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9C9"/>
      <rgbColor rgb="FF3366FF"/>
      <rgbColor rgb="FF33CCCC"/>
      <rgbColor rgb="FF99CC00"/>
      <rgbColor rgb="FFFFCC00"/>
      <rgbColor rgb="FFD9A441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/>
      <c r="B3" s="3"/>
    </row>
    <row r="4" customFormat="false" ht="15" hidden="false" customHeight="false" outlineLevel="0" collapsed="false">
      <c r="A4" s="4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26.8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 t="s">
        <v>20</v>
      </c>
      <c r="B13" s="3" t="s">
        <v>21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4" t="s">
        <v>22</v>
      </c>
    </row>
    <row r="16" customFormat="false" ht="26.85" hidden="false" customHeight="false" outlineLevel="0" collapsed="false">
      <c r="A16" s="2" t="s">
        <v>23</v>
      </c>
      <c r="B16" s="3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8" customFormat="false" ht="26.85" hidden="false" customHeight="false" outlineLevel="0" collapsed="false">
      <c r="A18" s="2" t="s">
        <v>27</v>
      </c>
      <c r="B18" s="3" t="s">
        <v>28</v>
      </c>
    </row>
    <row r="19" customFormat="false" ht="15" hidden="false" customHeight="false" outlineLevel="0" collapsed="false">
      <c r="A19" s="2" t="s">
        <v>29</v>
      </c>
      <c r="B19" s="3" t="s">
        <v>30</v>
      </c>
    </row>
    <row r="20" customFormat="false" ht="39.55" hidden="false" customHeight="false" outlineLevel="0" collapsed="false">
      <c r="A20" s="2" t="s">
        <v>31</v>
      </c>
      <c r="B20" s="3" t="s">
        <v>32</v>
      </c>
    </row>
    <row r="21" customFormat="false" ht="26.85" hidden="false" customHeight="false" outlineLevel="0" collapsed="false">
      <c r="A21" s="2" t="s">
        <v>33</v>
      </c>
      <c r="B21" s="3" t="s">
        <v>34</v>
      </c>
    </row>
    <row r="22" customFormat="false" ht="26.85" hidden="false" customHeight="false" outlineLevel="0" collapsed="false">
      <c r="A22" s="2" t="s">
        <v>35</v>
      </c>
      <c r="B22" s="3" t="s">
        <v>36</v>
      </c>
    </row>
    <row r="23" customFormat="false" ht="15" hidden="false" customHeight="false" outlineLevel="0" collapsed="false">
      <c r="A23" s="2"/>
      <c r="B23" s="3"/>
    </row>
    <row r="24" customFormat="false" ht="15" hidden="false" customHeight="false" outlineLevel="0" collapsed="false">
      <c r="A24" s="4" t="s">
        <v>37</v>
      </c>
    </row>
    <row r="25" customFormat="false" ht="26.85" hidden="false" customHeight="false" outlineLevel="0" collapsed="false">
      <c r="A25" s="2" t="s">
        <v>38</v>
      </c>
      <c r="B25" s="3" t="s">
        <v>39</v>
      </c>
    </row>
    <row r="26" customFormat="false" ht="15" hidden="false" customHeight="false" outlineLevel="0" collapsed="false">
      <c r="A26" s="2" t="s">
        <v>40</v>
      </c>
      <c r="B26" s="3" t="s">
        <v>41</v>
      </c>
    </row>
    <row r="27" customFormat="false" ht="15" hidden="false" customHeight="false" outlineLevel="0" collapsed="false">
      <c r="A27" s="2" t="s">
        <v>42</v>
      </c>
      <c r="B27" s="3" t="s">
        <v>43</v>
      </c>
    </row>
    <row r="28" customFormat="false" ht="15" hidden="false" customHeight="false" outlineLevel="0" collapsed="false">
      <c r="A28" s="2" t="s">
        <v>44</v>
      </c>
      <c r="B28" s="3" t="s">
        <v>45</v>
      </c>
    </row>
    <row r="29" customFormat="false" ht="15" hidden="false" customHeight="false" outlineLevel="0" collapsed="false">
      <c r="A29" s="2"/>
      <c r="B29" s="3"/>
    </row>
    <row r="30" customFormat="false" ht="15" hidden="false" customHeight="false" outlineLevel="0" collapsed="false">
      <c r="A30" s="4" t="s">
        <v>46</v>
      </c>
    </row>
    <row r="31" customFormat="false" ht="26.85" hidden="false" customHeight="false" outlineLevel="0" collapsed="false">
      <c r="A31" s="2" t="s">
        <v>47</v>
      </c>
      <c r="B31" s="3" t="s">
        <v>48</v>
      </c>
    </row>
    <row r="32" customFormat="false" ht="26.85" hidden="false" customHeight="false" outlineLevel="0" collapsed="false">
      <c r="A32" s="2" t="s">
        <v>49</v>
      </c>
      <c r="B32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70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5" t="s">
        <v>27</v>
      </c>
      <c r="B1" s="5" t="s">
        <v>29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</row>
    <row r="2" customFormat="false" ht="39.55" hidden="false" customHeight="false" outlineLevel="0" collapsed="false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/>
    </row>
    <row r="3" customFormat="false" ht="26.85" hidden="false" customHeight="false" outlineLevel="0" collapsed="false">
      <c r="A3" s="3" t="s">
        <v>64</v>
      </c>
      <c r="B3" s="3" t="s">
        <v>58</v>
      </c>
      <c r="C3" s="3" t="s">
        <v>59</v>
      </c>
      <c r="D3" s="3" t="s">
        <v>65</v>
      </c>
      <c r="E3" s="3" t="s">
        <v>66</v>
      </c>
      <c r="F3" s="3" t="s">
        <v>67</v>
      </c>
      <c r="G3" s="3" t="s">
        <v>68</v>
      </c>
      <c r="H3" s="3"/>
    </row>
    <row r="4" customFormat="false" ht="26.85" hidden="false" customHeight="false" outlineLevel="0" collapsed="false">
      <c r="A4" s="3" t="s">
        <v>69</v>
      </c>
      <c r="B4" s="3" t="s">
        <v>58</v>
      </c>
      <c r="C4" s="3" t="s">
        <v>59</v>
      </c>
      <c r="D4" s="3" t="s">
        <v>70</v>
      </c>
      <c r="E4" s="3" t="s">
        <v>61</v>
      </c>
      <c r="F4" s="3" t="s">
        <v>71</v>
      </c>
      <c r="G4" s="3" t="s">
        <v>68</v>
      </c>
      <c r="H4" s="3"/>
    </row>
    <row r="5" customFormat="false" ht="26.85" hidden="false" customHeight="false" outlineLevel="0" collapsed="false">
      <c r="A5" s="3" t="s">
        <v>72</v>
      </c>
      <c r="B5" s="3" t="s">
        <v>58</v>
      </c>
      <c r="C5" s="3" t="s">
        <v>59</v>
      </c>
      <c r="D5" s="3" t="s">
        <v>73</v>
      </c>
      <c r="E5" s="3" t="s">
        <v>66</v>
      </c>
      <c r="F5" s="3" t="s">
        <v>74</v>
      </c>
      <c r="G5" s="3" t="s">
        <v>68</v>
      </c>
      <c r="H5" s="3"/>
    </row>
    <row r="6" customFormat="false" ht="39.55" hidden="false" customHeight="false" outlineLevel="0" collapsed="false">
      <c r="A6" s="3" t="s">
        <v>75</v>
      </c>
      <c r="B6" s="3" t="s">
        <v>58</v>
      </c>
      <c r="C6" s="3" t="s">
        <v>59</v>
      </c>
      <c r="D6" s="3" t="s">
        <v>76</v>
      </c>
      <c r="E6" s="3" t="s">
        <v>61</v>
      </c>
      <c r="F6" s="3" t="s">
        <v>77</v>
      </c>
      <c r="G6" s="3" t="s">
        <v>68</v>
      </c>
      <c r="H6" s="3" t="s">
        <v>78</v>
      </c>
    </row>
    <row r="7" customFormat="false" ht="26.85" hidden="false" customHeight="false" outlineLevel="0" collapsed="false">
      <c r="A7" s="3" t="s">
        <v>79</v>
      </c>
      <c r="B7" s="3" t="s">
        <v>58</v>
      </c>
      <c r="C7" s="3" t="s">
        <v>59</v>
      </c>
      <c r="D7" s="3" t="s">
        <v>80</v>
      </c>
      <c r="E7" s="3" t="s">
        <v>61</v>
      </c>
      <c r="F7" s="3" t="s">
        <v>81</v>
      </c>
      <c r="G7" s="3" t="s">
        <v>68</v>
      </c>
      <c r="H7" s="3"/>
    </row>
    <row r="8" customFormat="false" ht="39.55" hidden="false" customHeight="false" outlineLevel="0" collapsed="false">
      <c r="A8" s="3" t="s">
        <v>82</v>
      </c>
      <c r="B8" s="3" t="s">
        <v>58</v>
      </c>
      <c r="C8" s="3" t="s">
        <v>59</v>
      </c>
      <c r="D8" s="3" t="s">
        <v>83</v>
      </c>
      <c r="E8" s="3" t="s">
        <v>61</v>
      </c>
      <c r="F8" s="3" t="s">
        <v>84</v>
      </c>
      <c r="G8" s="3" t="s">
        <v>68</v>
      </c>
      <c r="H8" s="3"/>
    </row>
    <row r="9" customFormat="false" ht="26.85" hidden="false" customHeight="false" outlineLevel="0" collapsed="false">
      <c r="A9" s="3" t="s">
        <v>85</v>
      </c>
      <c r="B9" s="3" t="s">
        <v>58</v>
      </c>
      <c r="C9" s="3" t="s">
        <v>59</v>
      </c>
      <c r="D9" s="3" t="s">
        <v>86</v>
      </c>
      <c r="E9" s="3" t="s">
        <v>66</v>
      </c>
      <c r="F9" s="3" t="s">
        <v>87</v>
      </c>
      <c r="G9" s="3" t="s">
        <v>63</v>
      </c>
      <c r="H9" s="3"/>
    </row>
    <row r="10" customFormat="false" ht="26.85" hidden="false" customHeight="false" outlineLevel="0" collapsed="false">
      <c r="A10" s="3" t="s">
        <v>88</v>
      </c>
      <c r="B10" s="3" t="s">
        <v>58</v>
      </c>
      <c r="C10" s="3" t="s">
        <v>59</v>
      </c>
      <c r="D10" s="3" t="s">
        <v>89</v>
      </c>
      <c r="E10" s="3" t="s">
        <v>61</v>
      </c>
      <c r="F10" s="3" t="s">
        <v>90</v>
      </c>
      <c r="G10" s="3" t="s">
        <v>63</v>
      </c>
      <c r="H10" s="3"/>
    </row>
    <row r="11" customFormat="false" ht="26.85" hidden="false" customHeight="false" outlineLevel="0" collapsed="false">
      <c r="A11" s="3" t="s">
        <v>91</v>
      </c>
      <c r="B11" s="3" t="s">
        <v>58</v>
      </c>
      <c r="C11" s="3" t="s">
        <v>59</v>
      </c>
      <c r="D11" s="3" t="s">
        <v>92</v>
      </c>
      <c r="E11" s="3" t="s">
        <v>61</v>
      </c>
      <c r="F11" s="3" t="s">
        <v>93</v>
      </c>
      <c r="G11" s="3" t="s">
        <v>63</v>
      </c>
      <c r="H11" s="3"/>
    </row>
    <row r="12" customFormat="false" ht="26.85" hidden="false" customHeight="false" outlineLevel="0" collapsed="false">
      <c r="A12" s="3" t="s">
        <v>94</v>
      </c>
      <c r="B12" s="3" t="s">
        <v>58</v>
      </c>
      <c r="C12" s="3" t="s">
        <v>59</v>
      </c>
      <c r="D12" s="3" t="s">
        <v>95</v>
      </c>
      <c r="E12" s="3" t="s">
        <v>66</v>
      </c>
      <c r="F12" s="3" t="s">
        <v>96</v>
      </c>
      <c r="G12" s="3" t="s">
        <v>97</v>
      </c>
      <c r="H12" s="3"/>
    </row>
    <row r="13" customFormat="false" ht="39.55" hidden="false" customHeight="false" outlineLevel="0" collapsed="false">
      <c r="A13" s="3" t="s">
        <v>98</v>
      </c>
      <c r="B13" s="3" t="s">
        <v>58</v>
      </c>
      <c r="C13" s="3" t="s">
        <v>59</v>
      </c>
      <c r="D13" s="3" t="s">
        <v>99</v>
      </c>
      <c r="E13" s="3" t="s">
        <v>66</v>
      </c>
      <c r="F13" s="3" t="s">
        <v>100</v>
      </c>
      <c r="G13" s="3" t="s">
        <v>68</v>
      </c>
      <c r="H13" s="3"/>
    </row>
    <row r="14" customFormat="false" ht="26.85" hidden="false" customHeight="false" outlineLevel="0" collapsed="false">
      <c r="A14" s="3" t="s">
        <v>101</v>
      </c>
      <c r="B14" s="3" t="s">
        <v>58</v>
      </c>
      <c r="C14" s="3" t="s">
        <v>59</v>
      </c>
      <c r="D14" s="3" t="s">
        <v>102</v>
      </c>
      <c r="E14" s="3" t="s">
        <v>61</v>
      </c>
      <c r="F14" s="3" t="s">
        <v>103</v>
      </c>
      <c r="G14" s="3" t="s">
        <v>68</v>
      </c>
      <c r="H14" s="3"/>
    </row>
    <row r="15" customFormat="false" ht="26.85" hidden="false" customHeight="false" outlineLevel="0" collapsed="false">
      <c r="A15" s="3" t="s">
        <v>104</v>
      </c>
      <c r="B15" s="3" t="s">
        <v>58</v>
      </c>
      <c r="C15" s="3" t="s">
        <v>59</v>
      </c>
      <c r="D15" s="3" t="s">
        <v>105</v>
      </c>
      <c r="E15" s="3" t="s">
        <v>66</v>
      </c>
      <c r="F15" s="3" t="s">
        <v>106</v>
      </c>
      <c r="G15" s="3" t="s">
        <v>68</v>
      </c>
      <c r="H15" s="3"/>
    </row>
    <row r="16" customFormat="false" ht="39.55" hidden="false" customHeight="false" outlineLevel="0" collapsed="false">
      <c r="A16" s="3" t="s">
        <v>107</v>
      </c>
      <c r="B16" s="3" t="s">
        <v>58</v>
      </c>
      <c r="C16" s="3" t="s">
        <v>59</v>
      </c>
      <c r="D16" s="3" t="s">
        <v>108</v>
      </c>
      <c r="E16" s="3" t="s">
        <v>61</v>
      </c>
      <c r="F16" s="3" t="s">
        <v>109</v>
      </c>
      <c r="G16" s="3" t="s">
        <v>68</v>
      </c>
      <c r="H16" s="3"/>
    </row>
    <row r="17" customFormat="false" ht="26.85" hidden="false" customHeight="false" outlineLevel="0" collapsed="false">
      <c r="A17" s="3" t="s">
        <v>110</v>
      </c>
      <c r="B17" s="3" t="s">
        <v>58</v>
      </c>
      <c r="C17" s="3" t="s">
        <v>59</v>
      </c>
      <c r="D17" s="3" t="s">
        <v>111</v>
      </c>
      <c r="E17" s="3" t="s">
        <v>66</v>
      </c>
      <c r="F17" s="3" t="s">
        <v>112</v>
      </c>
      <c r="G17" s="3" t="s">
        <v>97</v>
      </c>
      <c r="H17" s="3"/>
    </row>
    <row r="18" customFormat="false" ht="39.55" hidden="false" customHeight="false" outlineLevel="0" collapsed="false">
      <c r="A18" s="3" t="s">
        <v>113</v>
      </c>
      <c r="B18" s="3" t="s">
        <v>58</v>
      </c>
      <c r="C18" s="3" t="s">
        <v>59</v>
      </c>
      <c r="D18" s="3" t="s">
        <v>114</v>
      </c>
      <c r="E18" s="3" t="s">
        <v>61</v>
      </c>
      <c r="F18" s="3" t="s">
        <v>115</v>
      </c>
      <c r="G18" s="3" t="s">
        <v>68</v>
      </c>
      <c r="H18" s="3" t="s">
        <v>116</v>
      </c>
    </row>
    <row r="19" customFormat="false" ht="26.85" hidden="false" customHeight="false" outlineLevel="0" collapsed="false">
      <c r="A19" s="3" t="s">
        <v>117</v>
      </c>
      <c r="B19" s="3" t="s">
        <v>58</v>
      </c>
      <c r="C19" s="3" t="s">
        <v>59</v>
      </c>
      <c r="D19" s="3" t="s">
        <v>118</v>
      </c>
      <c r="E19" s="3" t="s">
        <v>66</v>
      </c>
      <c r="F19" s="3" t="s">
        <v>119</v>
      </c>
      <c r="G19" s="3" t="s">
        <v>68</v>
      </c>
      <c r="H19" s="3"/>
    </row>
    <row r="20" customFormat="false" ht="39.55" hidden="false" customHeight="false" outlineLevel="0" collapsed="false">
      <c r="A20" s="3" t="s">
        <v>120</v>
      </c>
      <c r="B20" s="3" t="s">
        <v>58</v>
      </c>
      <c r="C20" s="3" t="s">
        <v>59</v>
      </c>
      <c r="D20" s="3" t="s">
        <v>121</v>
      </c>
      <c r="E20" s="3" t="s">
        <v>66</v>
      </c>
      <c r="F20" s="3" t="s">
        <v>122</v>
      </c>
      <c r="G20" s="3" t="s">
        <v>123</v>
      </c>
      <c r="H20" s="3" t="s">
        <v>124</v>
      </c>
    </row>
    <row r="21" customFormat="false" ht="26.85" hidden="false" customHeight="false" outlineLevel="0" collapsed="false">
      <c r="A21" s="3" t="s">
        <v>125</v>
      </c>
      <c r="B21" s="3" t="s">
        <v>58</v>
      </c>
      <c r="C21" s="3" t="s">
        <v>59</v>
      </c>
      <c r="D21" s="3" t="s">
        <v>126</v>
      </c>
      <c r="E21" s="3" t="s">
        <v>66</v>
      </c>
      <c r="F21" s="3" t="s">
        <v>127</v>
      </c>
      <c r="G21" s="3" t="s">
        <v>128</v>
      </c>
      <c r="H21" s="3"/>
    </row>
    <row r="22" customFormat="false" ht="26.85" hidden="false" customHeight="false" outlineLevel="0" collapsed="false">
      <c r="A22" s="3" t="s">
        <v>129</v>
      </c>
      <c r="B22" s="3" t="s">
        <v>58</v>
      </c>
      <c r="C22" s="3" t="s">
        <v>130</v>
      </c>
      <c r="D22" s="3" t="s">
        <v>131</v>
      </c>
      <c r="E22" s="3" t="s">
        <v>132</v>
      </c>
      <c r="F22" s="3" t="s">
        <v>133</v>
      </c>
      <c r="G22" s="3" t="s">
        <v>97</v>
      </c>
      <c r="H22" s="3"/>
    </row>
    <row r="23" customFormat="false" ht="26.85" hidden="false" customHeight="false" outlineLevel="0" collapsed="false">
      <c r="A23" s="3" t="s">
        <v>134</v>
      </c>
      <c r="B23" s="3" t="s">
        <v>58</v>
      </c>
      <c r="C23" s="3" t="s">
        <v>130</v>
      </c>
      <c r="D23" s="3" t="s">
        <v>135</v>
      </c>
      <c r="E23" s="3" t="s">
        <v>136</v>
      </c>
      <c r="F23" s="3" t="s">
        <v>137</v>
      </c>
      <c r="G23" s="3" t="s">
        <v>97</v>
      </c>
      <c r="H23" s="3"/>
    </row>
    <row r="24" customFormat="false" ht="26.85" hidden="false" customHeight="false" outlineLevel="0" collapsed="false">
      <c r="A24" s="3" t="s">
        <v>138</v>
      </c>
      <c r="B24" s="3" t="s">
        <v>58</v>
      </c>
      <c r="C24" s="3" t="s">
        <v>130</v>
      </c>
      <c r="D24" s="3" t="s">
        <v>139</v>
      </c>
      <c r="E24" s="3" t="s">
        <v>132</v>
      </c>
      <c r="F24" s="3" t="s">
        <v>140</v>
      </c>
      <c r="G24" s="3" t="s">
        <v>97</v>
      </c>
      <c r="H24" s="3"/>
    </row>
    <row r="25" customFormat="false" ht="26.85" hidden="false" customHeight="false" outlineLevel="0" collapsed="false">
      <c r="A25" s="3" t="s">
        <v>141</v>
      </c>
      <c r="B25" s="3" t="s">
        <v>58</v>
      </c>
      <c r="C25" s="3" t="s">
        <v>130</v>
      </c>
      <c r="D25" s="3" t="s">
        <v>142</v>
      </c>
      <c r="E25" s="3" t="s">
        <v>132</v>
      </c>
      <c r="F25" s="3" t="s">
        <v>143</v>
      </c>
      <c r="G25" s="3" t="s">
        <v>97</v>
      </c>
      <c r="H25" s="3"/>
    </row>
    <row r="26" customFormat="false" ht="26.85" hidden="false" customHeight="false" outlineLevel="0" collapsed="false">
      <c r="A26" s="3" t="s">
        <v>144</v>
      </c>
      <c r="B26" s="3" t="s">
        <v>58</v>
      </c>
      <c r="C26" s="3" t="s">
        <v>130</v>
      </c>
      <c r="D26" s="3" t="s">
        <v>145</v>
      </c>
      <c r="E26" s="3" t="s">
        <v>136</v>
      </c>
      <c r="F26" s="3" t="s">
        <v>146</v>
      </c>
      <c r="G26" s="3" t="s">
        <v>97</v>
      </c>
      <c r="H26" s="3"/>
    </row>
    <row r="27" customFormat="false" ht="26.85" hidden="false" customHeight="false" outlineLevel="0" collapsed="false">
      <c r="A27" s="3" t="s">
        <v>147</v>
      </c>
      <c r="B27" s="3" t="s">
        <v>58</v>
      </c>
      <c r="C27" s="3" t="s">
        <v>130</v>
      </c>
      <c r="D27" s="3" t="s">
        <v>148</v>
      </c>
      <c r="E27" s="3" t="s">
        <v>136</v>
      </c>
      <c r="F27" s="3" t="s">
        <v>149</v>
      </c>
      <c r="G27" s="3" t="s">
        <v>97</v>
      </c>
      <c r="H27" s="3"/>
    </row>
    <row r="28" customFormat="false" ht="26.85" hidden="false" customHeight="false" outlineLevel="0" collapsed="false">
      <c r="A28" s="3" t="s">
        <v>150</v>
      </c>
      <c r="B28" s="3" t="s">
        <v>58</v>
      </c>
      <c r="C28" s="3" t="s">
        <v>130</v>
      </c>
      <c r="D28" s="3" t="s">
        <v>151</v>
      </c>
      <c r="E28" s="3" t="s">
        <v>132</v>
      </c>
      <c r="F28" s="3" t="s">
        <v>152</v>
      </c>
      <c r="G28" s="3" t="s">
        <v>97</v>
      </c>
      <c r="H28" s="3"/>
    </row>
    <row r="29" customFormat="false" ht="26.85" hidden="false" customHeight="false" outlineLevel="0" collapsed="false">
      <c r="A29" s="3" t="s">
        <v>153</v>
      </c>
      <c r="B29" s="3" t="s">
        <v>58</v>
      </c>
      <c r="C29" s="3" t="s">
        <v>130</v>
      </c>
      <c r="D29" s="3" t="s">
        <v>154</v>
      </c>
      <c r="E29" s="3" t="s">
        <v>136</v>
      </c>
      <c r="F29" s="3" t="s">
        <v>155</v>
      </c>
      <c r="G29" s="3" t="s">
        <v>97</v>
      </c>
      <c r="H29" s="3" t="s">
        <v>116</v>
      </c>
    </row>
    <row r="30" customFormat="false" ht="26.85" hidden="false" customHeight="false" outlineLevel="0" collapsed="false">
      <c r="A30" s="3" t="s">
        <v>156</v>
      </c>
      <c r="B30" s="3" t="s">
        <v>58</v>
      </c>
      <c r="C30" s="3" t="s">
        <v>130</v>
      </c>
      <c r="D30" s="3" t="s">
        <v>157</v>
      </c>
      <c r="E30" s="3" t="s">
        <v>136</v>
      </c>
      <c r="F30" s="3" t="s">
        <v>158</v>
      </c>
      <c r="G30" s="3" t="s">
        <v>97</v>
      </c>
      <c r="H30" s="3"/>
    </row>
    <row r="31" customFormat="false" ht="26.85" hidden="false" customHeight="false" outlineLevel="0" collapsed="false">
      <c r="A31" s="3" t="s">
        <v>159</v>
      </c>
      <c r="B31" s="3" t="s">
        <v>58</v>
      </c>
      <c r="C31" s="3" t="s">
        <v>130</v>
      </c>
      <c r="D31" s="3" t="s">
        <v>160</v>
      </c>
      <c r="E31" s="3" t="s">
        <v>136</v>
      </c>
      <c r="F31" s="3" t="s">
        <v>161</v>
      </c>
      <c r="G31" s="3" t="s">
        <v>162</v>
      </c>
      <c r="H31" s="3"/>
    </row>
    <row r="32" customFormat="false" ht="26.85" hidden="false" customHeight="false" outlineLevel="0" collapsed="false">
      <c r="A32" s="3" t="s">
        <v>163</v>
      </c>
      <c r="B32" s="3" t="s">
        <v>58</v>
      </c>
      <c r="C32" s="3" t="s">
        <v>130</v>
      </c>
      <c r="D32" s="3" t="s">
        <v>164</v>
      </c>
      <c r="E32" s="3" t="s">
        <v>136</v>
      </c>
      <c r="F32" s="3" t="s">
        <v>165</v>
      </c>
      <c r="G32" s="3" t="s">
        <v>162</v>
      </c>
      <c r="H32" s="3"/>
    </row>
    <row r="33" customFormat="false" ht="26.85" hidden="false" customHeight="false" outlineLevel="0" collapsed="false">
      <c r="A33" s="3" t="s">
        <v>166</v>
      </c>
      <c r="B33" s="3" t="s">
        <v>58</v>
      </c>
      <c r="C33" s="3" t="s">
        <v>130</v>
      </c>
      <c r="D33" s="3" t="s">
        <v>167</v>
      </c>
      <c r="E33" s="3" t="s">
        <v>132</v>
      </c>
      <c r="F33" s="3" t="s">
        <v>168</v>
      </c>
      <c r="G33" s="3" t="s">
        <v>169</v>
      </c>
      <c r="H33" s="3"/>
    </row>
    <row r="34" customFormat="false" ht="26.85" hidden="false" customHeight="false" outlineLevel="0" collapsed="false">
      <c r="A34" s="3" t="s">
        <v>170</v>
      </c>
      <c r="B34" s="3" t="s">
        <v>58</v>
      </c>
      <c r="C34" s="3" t="s">
        <v>130</v>
      </c>
      <c r="D34" s="3" t="s">
        <v>171</v>
      </c>
      <c r="E34" s="3" t="s">
        <v>136</v>
      </c>
      <c r="F34" s="3" t="s">
        <v>172</v>
      </c>
      <c r="G34" s="3" t="s">
        <v>173</v>
      </c>
      <c r="H34" s="3"/>
    </row>
    <row r="35" customFormat="false" ht="26.85" hidden="false" customHeight="false" outlineLevel="0" collapsed="false">
      <c r="A35" s="3" t="s">
        <v>174</v>
      </c>
      <c r="B35" s="3" t="s">
        <v>58</v>
      </c>
      <c r="C35" s="3" t="s">
        <v>130</v>
      </c>
      <c r="D35" s="3" t="s">
        <v>175</v>
      </c>
      <c r="E35" s="3" t="s">
        <v>132</v>
      </c>
      <c r="F35" s="3" t="s">
        <v>176</v>
      </c>
      <c r="G35" s="3" t="s">
        <v>97</v>
      </c>
      <c r="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</row>
  </sheetData>
  <conditionalFormatting sqref="D2:D301">
    <cfRule type="expression" priority="2" aboveAverage="0" equalAverage="0" bottom="0" percent="0" rank="0" text="" dxfId="0">
      <formula>LEN(D2)&gt;120</formula>
    </cfRule>
  </conditionalFormatting>
  <conditionalFormatting sqref="F2:F301">
    <cfRule type="expression" priority="3" aboveAverage="0" equalAverage="0" bottom="0" percent="0" rank="0" text="" dxfId="0">
      <formula>LEN(F2)&gt;280</formula>
    </cfRule>
  </conditionalFormatting>
  <conditionalFormatting sqref="E2:E301">
    <cfRule type="expression" priority="4" aboveAverage="0" equalAverage="0" bottom="0" percent="0" rank="0" text="" dxfId="0">
      <formula>OR(AND($C2="teny_tevhit",$E2&lt;&gt;"",$E2&lt;&gt;"TENY",$E2&lt;&gt;"TEVHIT"),AND($C2="normalis_orvos",$E2&lt;&gt;"",$E2&lt;&gt;"NORMALIS",$E2&lt;&gt;"ORVOS"))</formula>
    </cfRule>
  </conditionalFormatting>
  <dataValidations count="3">
    <dataValidation allowBlank="true" error="Válassz a listából: IGEN, NEM" errorStyle="stop" errorTitle="Érvénytelen érték" operator="between" prompt="IGEN = játékban, NEM = rejtve" promptTitle="Választás" showDropDown="false" showErrorMessage="true" showInputMessage="true" sqref="B2:B301" type="list">
      <formula1>"IGEN,NEM"</formula1>
      <formula2>0</formula2>
    </dataValidation>
    <dataValidation allowBlank="true" error="Válassz a listából: teny_tevhit, normalis_orvos" errorStyle="stop" errorTitle="Érvénytelen érték" operator="between" prompt="Kártyatípus" promptTitle="Választás" showDropDown="false" showErrorMessage="true" showInputMessage="true" sqref="C2:C301" type="list">
      <formula1>"teny_tevhit,normalis_orvos"</formula1>
      <formula2>0</formula2>
    </dataValidation>
    <dataValidation allowBlank="true" error="Válassz a listából: TENY, TEVHIT, NORMALIS, ORVOS" errorStyle="stop" errorTitle="Érvénytelen érték" operator="between" prompt="A típushoz illő válasz" promptTitle="Választás" showDropDown="false" showErrorMessage="true" showInputMessage="true" sqref="E2:E301" type="list">
      <formula1>"TENY,TEVHIT,NORMALIS,ORVOS"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6" min="4" style="0" width="9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70"/>
    <col collapsed="false" customWidth="true" hidden="false" outlineLevel="0" max="11" min="11" style="0" width="22"/>
    <col collapsed="false" customWidth="true" hidden="false" outlineLevel="0" max="12" min="12" style="0" width="30"/>
  </cols>
  <sheetData>
    <row r="1" customFormat="false" ht="21.75" hidden="false" customHeight="true" outlineLevel="0" collapsed="false">
      <c r="A1" s="5" t="s">
        <v>27</v>
      </c>
      <c r="B1" s="5" t="s">
        <v>29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5" t="s">
        <v>182</v>
      </c>
      <c r="I1" s="5" t="s">
        <v>183</v>
      </c>
      <c r="J1" s="5" t="s">
        <v>54</v>
      </c>
      <c r="K1" s="5" t="s">
        <v>55</v>
      </c>
      <c r="L1" s="5" t="s">
        <v>56</v>
      </c>
    </row>
    <row r="2" customFormat="false" ht="26.85" hidden="false" customHeight="false" outlineLevel="0" collapsed="false">
      <c r="A2" s="3" t="s">
        <v>184</v>
      </c>
      <c r="B2" s="3" t="s">
        <v>58</v>
      </c>
      <c r="C2" s="3" t="s">
        <v>185</v>
      </c>
      <c r="D2" s="3" t="n">
        <v>0</v>
      </c>
      <c r="E2" s="3" t="n">
        <v>500000</v>
      </c>
      <c r="F2" s="3" t="n">
        <v>10000</v>
      </c>
      <c r="G2" s="3" t="n">
        <v>200000</v>
      </c>
      <c r="H2" s="3" t="n">
        <v>40000</v>
      </c>
      <c r="I2" s="3" t="s">
        <v>186</v>
      </c>
      <c r="J2" s="3" t="s">
        <v>187</v>
      </c>
      <c r="K2" s="3" t="s">
        <v>188</v>
      </c>
      <c r="L2" s="3"/>
    </row>
    <row r="3" customFormat="false" ht="26.85" hidden="false" customHeight="false" outlineLevel="0" collapsed="false">
      <c r="A3" s="3" t="s">
        <v>189</v>
      </c>
      <c r="B3" s="3" t="s">
        <v>58</v>
      </c>
      <c r="C3" s="3" t="s">
        <v>190</v>
      </c>
      <c r="D3" s="3" t="n">
        <v>0</v>
      </c>
      <c r="E3" s="3" t="n">
        <v>15</v>
      </c>
      <c r="F3" s="3" t="n">
        <v>1</v>
      </c>
      <c r="G3" s="3" t="n">
        <v>4</v>
      </c>
      <c r="H3" s="3" t="n">
        <v>1</v>
      </c>
      <c r="I3" s="3" t="s">
        <v>191</v>
      </c>
      <c r="J3" s="3" t="s">
        <v>192</v>
      </c>
      <c r="K3" s="3" t="s">
        <v>188</v>
      </c>
      <c r="L3" s="3"/>
    </row>
    <row r="4" customFormat="false" ht="26.85" hidden="false" customHeight="false" outlineLevel="0" collapsed="false">
      <c r="A4" s="3" t="s">
        <v>193</v>
      </c>
      <c r="B4" s="3" t="s">
        <v>58</v>
      </c>
      <c r="C4" s="3" t="s">
        <v>194</v>
      </c>
      <c r="D4" s="3" t="n">
        <v>0</v>
      </c>
      <c r="E4" s="3" t="n">
        <v>100</v>
      </c>
      <c r="F4" s="3" t="n">
        <v>5</v>
      </c>
      <c r="G4" s="3" t="n">
        <v>50</v>
      </c>
      <c r="H4" s="3" t="n">
        <v>10</v>
      </c>
      <c r="I4" s="3" t="s">
        <v>195</v>
      </c>
      <c r="J4" s="3" t="s">
        <v>196</v>
      </c>
      <c r="K4" s="3" t="s">
        <v>188</v>
      </c>
      <c r="L4" s="3"/>
    </row>
    <row r="5" customFormat="false" ht="26.85" hidden="false" customHeight="false" outlineLevel="0" collapsed="false">
      <c r="A5" s="3" t="s">
        <v>197</v>
      </c>
      <c r="B5" s="3" t="s">
        <v>58</v>
      </c>
      <c r="C5" s="3" t="s">
        <v>198</v>
      </c>
      <c r="D5" s="3" t="n">
        <v>0</v>
      </c>
      <c r="E5" s="3" t="n">
        <v>15</v>
      </c>
      <c r="F5" s="3" t="n">
        <v>1</v>
      </c>
      <c r="G5" s="3" t="n">
        <v>6</v>
      </c>
      <c r="H5" s="3" t="n">
        <v>1</v>
      </c>
      <c r="I5" s="3" t="s">
        <v>199</v>
      </c>
      <c r="J5" s="3" t="s">
        <v>200</v>
      </c>
      <c r="K5" s="3" t="s">
        <v>97</v>
      </c>
      <c r="L5" s="3"/>
    </row>
    <row r="6" customFormat="false" ht="26.85" hidden="false" customHeight="false" outlineLevel="0" collapsed="false">
      <c r="A6" s="3" t="s">
        <v>201</v>
      </c>
      <c r="B6" s="3" t="s">
        <v>58</v>
      </c>
      <c r="C6" s="3" t="s">
        <v>202</v>
      </c>
      <c r="D6" s="3" t="n">
        <v>50</v>
      </c>
      <c r="E6" s="3" t="n">
        <v>100</v>
      </c>
      <c r="F6" s="3" t="n">
        <v>1</v>
      </c>
      <c r="G6" s="3" t="n">
        <v>98</v>
      </c>
      <c r="H6" s="3" t="n">
        <v>3</v>
      </c>
      <c r="I6" s="3" t="s">
        <v>195</v>
      </c>
      <c r="J6" s="3" t="s">
        <v>203</v>
      </c>
      <c r="K6" s="3" t="s">
        <v>97</v>
      </c>
      <c r="L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</sheetData>
  <conditionalFormatting sqref="C2:C301">
    <cfRule type="expression" priority="2" aboveAverage="0" equalAverage="0" bottom="0" percent="0" rank="0" text="" dxfId="0">
      <formula>LEN(C2)&gt;120</formula>
    </cfRule>
  </conditionalFormatting>
  <conditionalFormatting sqref="J2:J301">
    <cfRule type="expression" priority="3" aboveAverage="0" equalAverage="0" bottom="0" percent="0" rank="0" text="" dxfId="0">
      <formula>LEN(J2)&gt;280</formula>
    </cfRule>
  </conditionalFormatting>
  <conditionalFormatting sqref="G2:G301">
    <cfRule type="expression" priority="4" aboveAverage="0" equalAverage="0" bottom="0" percent="0" rank="0" text="" dxfId="0">
      <formula>AND($G2&lt;&gt;"",$D2&lt;&gt;"",$E2&lt;&gt;"",OR($G2&lt;$D2,$G2&gt;$E2))</formula>
    </cfRule>
  </conditionalFormatting>
  <dataValidations count="2">
    <dataValidation allowBlank="true" error="Válassz a listából: IGEN, NEM" errorStyle="stop" errorTitle="Érvénytelen érték" operator="between" prompt="IGEN = játékban, NEM = rejtve" promptTitle="Választás" showDropDown="false" showErrorMessage="true" showInputMessage="true" sqref="B2:B301" type="list">
      <formula1>"IGEN,NEM"</formula1>
      <formula2>0</formula2>
    </dataValidation>
    <dataValidation allowBlank="true" error="Ide csak szám kerülhet." errorStyle="stop" operator="greaterThanOrEqual" showDropDown="false" showErrorMessage="true" showInputMessage="false" sqref="D2:H3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5" t="s">
        <v>27</v>
      </c>
      <c r="B1" s="5" t="s">
        <v>29</v>
      </c>
      <c r="C1" s="5" t="s">
        <v>204</v>
      </c>
      <c r="D1" s="5" t="s">
        <v>205</v>
      </c>
      <c r="E1" s="5" t="s">
        <v>55</v>
      </c>
      <c r="F1" s="5" t="s">
        <v>56</v>
      </c>
    </row>
    <row r="2" customFormat="false" ht="26.85" hidden="false" customHeight="false" outlineLevel="0" collapsed="false">
      <c r="A2" s="3" t="s">
        <v>206</v>
      </c>
      <c r="B2" s="3" t="s">
        <v>58</v>
      </c>
      <c r="C2" s="3" t="s">
        <v>207</v>
      </c>
      <c r="D2" s="3" t="s">
        <v>208</v>
      </c>
      <c r="E2" s="3" t="s">
        <v>68</v>
      </c>
      <c r="F2" s="3"/>
    </row>
    <row r="3" customFormat="false" ht="26.85" hidden="false" customHeight="false" outlineLevel="0" collapsed="false">
      <c r="A3" s="3" t="s">
        <v>209</v>
      </c>
      <c r="B3" s="3" t="s">
        <v>58</v>
      </c>
      <c r="C3" s="3" t="s">
        <v>210</v>
      </c>
      <c r="D3" s="3" t="s">
        <v>211</v>
      </c>
      <c r="E3" s="3" t="s">
        <v>68</v>
      </c>
      <c r="F3" s="3"/>
    </row>
    <row r="4" customFormat="false" ht="26.85" hidden="false" customHeight="false" outlineLevel="0" collapsed="false">
      <c r="A4" s="3" t="s">
        <v>212</v>
      </c>
      <c r="B4" s="3" t="s">
        <v>58</v>
      </c>
      <c r="C4" s="3" t="s">
        <v>213</v>
      </c>
      <c r="D4" s="3" t="s">
        <v>214</v>
      </c>
      <c r="E4" s="3" t="s">
        <v>68</v>
      </c>
      <c r="F4" s="3"/>
    </row>
    <row r="5" customFormat="false" ht="26.85" hidden="false" customHeight="false" outlineLevel="0" collapsed="false">
      <c r="A5" s="3" t="s">
        <v>215</v>
      </c>
      <c r="B5" s="3" t="s">
        <v>58</v>
      </c>
      <c r="C5" s="3" t="s">
        <v>216</v>
      </c>
      <c r="D5" s="3" t="s">
        <v>217</v>
      </c>
      <c r="E5" s="3" t="s">
        <v>68</v>
      </c>
      <c r="F5" s="3"/>
    </row>
    <row r="6" customFormat="false" ht="26.85" hidden="false" customHeight="false" outlineLevel="0" collapsed="false">
      <c r="A6" s="3" t="s">
        <v>218</v>
      </c>
      <c r="B6" s="3" t="s">
        <v>58</v>
      </c>
      <c r="C6" s="3"/>
      <c r="D6" s="3" t="s">
        <v>219</v>
      </c>
      <c r="E6" s="3" t="s">
        <v>63</v>
      </c>
      <c r="F6" s="3"/>
    </row>
    <row r="7" customFormat="false" ht="26.85" hidden="false" customHeight="false" outlineLevel="0" collapsed="false">
      <c r="A7" s="3" t="s">
        <v>220</v>
      </c>
      <c r="B7" s="3" t="s">
        <v>58</v>
      </c>
      <c r="C7" s="3" t="s">
        <v>221</v>
      </c>
      <c r="D7" s="3" t="s">
        <v>222</v>
      </c>
      <c r="E7" s="3" t="s">
        <v>68</v>
      </c>
      <c r="F7" s="3"/>
    </row>
    <row r="8" customFormat="false" ht="26.85" hidden="false" customHeight="false" outlineLevel="0" collapsed="false">
      <c r="A8" s="3" t="s">
        <v>223</v>
      </c>
      <c r="B8" s="3" t="s">
        <v>58</v>
      </c>
      <c r="C8" s="3" t="s">
        <v>224</v>
      </c>
      <c r="D8" s="3" t="s">
        <v>225</v>
      </c>
      <c r="E8" s="3" t="s">
        <v>63</v>
      </c>
      <c r="F8" s="3"/>
    </row>
    <row r="9" customFormat="false" ht="26.85" hidden="false" customHeight="false" outlineLevel="0" collapsed="false">
      <c r="A9" s="3" t="s">
        <v>226</v>
      </c>
      <c r="B9" s="3" t="s">
        <v>58</v>
      </c>
      <c r="C9" s="3"/>
      <c r="D9" s="3" t="s">
        <v>227</v>
      </c>
      <c r="E9" s="3" t="s">
        <v>68</v>
      </c>
      <c r="F9" s="3"/>
    </row>
    <row r="10" customFormat="false" ht="26.85" hidden="false" customHeight="false" outlineLevel="0" collapsed="false">
      <c r="A10" s="3" t="s">
        <v>228</v>
      </c>
      <c r="B10" s="3" t="s">
        <v>58</v>
      </c>
      <c r="C10" s="3"/>
      <c r="D10" s="3" t="s">
        <v>229</v>
      </c>
      <c r="E10" s="3" t="s">
        <v>230</v>
      </c>
      <c r="F10" s="3"/>
    </row>
    <row r="11" customFormat="false" ht="26.85" hidden="false" customHeight="false" outlineLevel="0" collapsed="false">
      <c r="A11" s="3" t="s">
        <v>231</v>
      </c>
      <c r="B11" s="3" t="s">
        <v>58</v>
      </c>
      <c r="C11" s="3" t="s">
        <v>232</v>
      </c>
      <c r="D11" s="3" t="s">
        <v>233</v>
      </c>
      <c r="E11" s="3" t="s">
        <v>234</v>
      </c>
      <c r="F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</row>
  </sheetData>
  <conditionalFormatting sqref="D2:D301">
    <cfRule type="expression" priority="2" aboveAverage="0" equalAverage="0" bottom="0" percent="0" rank="0" text="" dxfId="0">
      <formula>LEN(D2)&gt;120</formula>
    </cfRule>
  </conditionalFormatting>
  <dataValidations count="1">
    <dataValidation allowBlank="true" error="Válassz a listából: IGEN, NEM" errorStyle="stop" errorTitle="Érvénytelen érték" operator="between" prompt="IGEN = játékban, NEM = rejtve" promptTitle="Választás" showDropDown="false" showErrorMessage="true" showInputMessage="true" sqref="B2:B301" type="list">
      <formula1>"IGEN,NEM"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C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60"/>
  </cols>
  <sheetData>
    <row r="1" customFormat="false" ht="21.75" hidden="false" customHeight="true" outlineLevel="0" collapsed="false">
      <c r="A1" s="5" t="s">
        <v>235</v>
      </c>
      <c r="B1" s="5" t="s">
        <v>205</v>
      </c>
      <c r="C1" s="5" t="s">
        <v>236</v>
      </c>
    </row>
    <row r="2" customFormat="false" ht="15" hidden="false" customHeight="false" outlineLevel="0" collapsed="false">
      <c r="A2" s="3" t="s">
        <v>237</v>
      </c>
      <c r="B2" s="3" t="s">
        <v>238</v>
      </c>
      <c r="C2" s="6" t="s">
        <v>239</v>
      </c>
    </row>
    <row r="3" customFormat="false" ht="26.85" hidden="false" customHeight="false" outlineLevel="0" collapsed="false">
      <c r="A3" s="3" t="s">
        <v>240</v>
      </c>
      <c r="B3" s="3" t="s">
        <v>241</v>
      </c>
      <c r="C3" s="6" t="s">
        <v>242</v>
      </c>
    </row>
    <row r="4" customFormat="false" ht="26.85" hidden="false" customHeight="false" outlineLevel="0" collapsed="false">
      <c r="A4" s="3" t="s">
        <v>243</v>
      </c>
      <c r="B4" s="3" t="s">
        <v>244</v>
      </c>
      <c r="C4" s="6" t="s">
        <v>245</v>
      </c>
    </row>
    <row r="5" customFormat="false" ht="15" hidden="false" customHeight="false" outlineLevel="0" collapsed="false">
      <c r="A5" s="3" t="s">
        <v>246</v>
      </c>
      <c r="B5" s="3" t="s">
        <v>247</v>
      </c>
      <c r="C5" s="6" t="s">
        <v>248</v>
      </c>
    </row>
    <row r="6" customFormat="false" ht="15" hidden="false" customHeight="false" outlineLevel="0" collapsed="false">
      <c r="A6" s="3" t="s">
        <v>249</v>
      </c>
      <c r="B6" s="3" t="s">
        <v>250</v>
      </c>
      <c r="C6" s="6" t="s">
        <v>251</v>
      </c>
    </row>
    <row r="7" customFormat="false" ht="15" hidden="false" customHeight="false" outlineLevel="0" collapsed="false">
      <c r="A7" s="3" t="s">
        <v>252</v>
      </c>
      <c r="B7" s="3" t="s">
        <v>253</v>
      </c>
      <c r="C7" s="6" t="s">
        <v>254</v>
      </c>
    </row>
    <row r="8" customFormat="false" ht="15" hidden="false" customHeight="false" outlineLevel="0" collapsed="false">
      <c r="A8" s="3" t="s">
        <v>255</v>
      </c>
      <c r="B8" s="3" t="s">
        <v>256</v>
      </c>
      <c r="C8" s="6" t="s">
        <v>257</v>
      </c>
    </row>
    <row r="9" customFormat="false" ht="15" hidden="false" customHeight="false" outlineLevel="0" collapsed="false">
      <c r="A9" s="3" t="s">
        <v>258</v>
      </c>
      <c r="B9" s="3" t="s">
        <v>259</v>
      </c>
      <c r="C9" s="6" t="s">
        <v>260</v>
      </c>
    </row>
    <row r="10" customFormat="false" ht="15" hidden="false" customHeight="false" outlineLevel="0" collapsed="false">
      <c r="A10" s="3" t="s">
        <v>261</v>
      </c>
      <c r="B10" s="3" t="s">
        <v>262</v>
      </c>
      <c r="C10" s="6" t="s">
        <v>263</v>
      </c>
    </row>
    <row r="11" customFormat="false" ht="15" hidden="false" customHeight="false" outlineLevel="0" collapsed="false">
      <c r="A11" s="3" t="s">
        <v>264</v>
      </c>
      <c r="B11" s="3" t="s">
        <v>265</v>
      </c>
      <c r="C11" s="6" t="s">
        <v>266</v>
      </c>
    </row>
    <row r="12" customFormat="false" ht="15" hidden="false" customHeight="false" outlineLevel="0" collapsed="false">
      <c r="A12" s="3" t="s">
        <v>267</v>
      </c>
      <c r="B12" s="3" t="s">
        <v>268</v>
      </c>
      <c r="C12" s="6" t="s">
        <v>269</v>
      </c>
    </row>
    <row r="13" customFormat="false" ht="15" hidden="false" customHeight="false" outlineLevel="0" collapsed="false">
      <c r="A13" s="3" t="s">
        <v>270</v>
      </c>
      <c r="B13" s="3" t="s">
        <v>271</v>
      </c>
      <c r="C13" s="6" t="s">
        <v>272</v>
      </c>
    </row>
    <row r="14" customFormat="false" ht="15" hidden="false" customHeight="false" outlineLevel="0" collapsed="false">
      <c r="A14" s="3" t="s">
        <v>273</v>
      </c>
      <c r="B14" s="3" t="s">
        <v>274</v>
      </c>
      <c r="C14" s="6" t="s">
        <v>275</v>
      </c>
    </row>
    <row r="15" customFormat="false" ht="15" hidden="false" customHeight="false" outlineLevel="0" collapsed="false">
      <c r="A15" s="3" t="s">
        <v>276</v>
      </c>
      <c r="B15" s="3" t="s">
        <v>277</v>
      </c>
      <c r="C15" s="6" t="s">
        <v>278</v>
      </c>
    </row>
    <row r="16" customFormat="false" ht="15" hidden="false" customHeight="false" outlineLevel="0" collapsed="false">
      <c r="A16" s="3" t="s">
        <v>279</v>
      </c>
      <c r="B16" s="3" t="s">
        <v>280</v>
      </c>
      <c r="C16" s="6" t="s">
        <v>281</v>
      </c>
    </row>
    <row r="17" customFormat="false" ht="26.85" hidden="false" customHeight="false" outlineLevel="0" collapsed="false">
      <c r="A17" s="3" t="s">
        <v>282</v>
      </c>
      <c r="B17" s="3" t="s">
        <v>283</v>
      </c>
      <c r="C17" s="6" t="s">
        <v>284</v>
      </c>
    </row>
    <row r="18" customFormat="false" ht="15" hidden="false" customHeight="false" outlineLevel="0" collapsed="false">
      <c r="A18" s="3" t="s">
        <v>285</v>
      </c>
      <c r="B18" s="3" t="s">
        <v>286</v>
      </c>
      <c r="C18" s="6" t="s">
        <v>287</v>
      </c>
    </row>
    <row r="19" customFormat="false" ht="15" hidden="false" customHeight="false" outlineLevel="0" collapsed="false">
      <c r="A19" s="3" t="s">
        <v>288</v>
      </c>
      <c r="B19" s="3" t="s">
        <v>289</v>
      </c>
      <c r="C19" s="6" t="s">
        <v>290</v>
      </c>
    </row>
    <row r="20" customFormat="false" ht="15" hidden="false" customHeight="false" outlineLevel="0" collapsed="false">
      <c r="A20" s="3" t="s">
        <v>291</v>
      </c>
      <c r="B20" s="3" t="s">
        <v>292</v>
      </c>
      <c r="C20" s="6" t="s">
        <v>293</v>
      </c>
    </row>
    <row r="21" customFormat="false" ht="39.55" hidden="false" customHeight="false" outlineLevel="0" collapsed="false">
      <c r="A21" s="3" t="s">
        <v>294</v>
      </c>
      <c r="B21" s="3" t="s">
        <v>295</v>
      </c>
      <c r="C21" s="6" t="s">
        <v>296</v>
      </c>
    </row>
    <row r="22" customFormat="false" ht="15" hidden="false" customHeight="false" outlineLevel="0" collapsed="false">
      <c r="A22" s="3" t="s">
        <v>297</v>
      </c>
      <c r="B22" s="3" t="s">
        <v>298</v>
      </c>
      <c r="C22" s="6" t="s">
        <v>299</v>
      </c>
    </row>
    <row r="23" customFormat="false" ht="15" hidden="false" customHeight="false" outlineLevel="0" collapsed="false">
      <c r="A23" s="3" t="s">
        <v>300</v>
      </c>
      <c r="B23" s="3" t="s">
        <v>301</v>
      </c>
      <c r="C23" s="6" t="s">
        <v>302</v>
      </c>
    </row>
    <row r="24" customFormat="false" ht="26.85" hidden="false" customHeight="false" outlineLevel="0" collapsed="false">
      <c r="A24" s="3" t="s">
        <v>303</v>
      </c>
      <c r="B24" s="3" t="s">
        <v>304</v>
      </c>
      <c r="C24" s="6" t="s">
        <v>305</v>
      </c>
    </row>
    <row r="25" customFormat="false" ht="15" hidden="false" customHeight="false" outlineLevel="0" collapsed="false">
      <c r="A25" s="3"/>
      <c r="B25" s="3"/>
      <c r="C25" s="3"/>
    </row>
    <row r="26" customFormat="false" ht="15" hidden="false" customHeight="false" outlineLevel="0" collapsed="false">
      <c r="A26" s="3"/>
      <c r="B26" s="3"/>
      <c r="C26" s="3"/>
    </row>
    <row r="27" customFormat="false" ht="15" hidden="false" customHeight="false" outlineLevel="0" collapsed="false">
      <c r="A27" s="3"/>
      <c r="B27" s="3"/>
      <c r="C27" s="3"/>
    </row>
    <row r="28" customFormat="false" ht="15" hidden="false" customHeight="false" outlineLevel="0" collapsed="false">
      <c r="A28" s="3"/>
      <c r="B28" s="3"/>
      <c r="C28" s="3"/>
    </row>
    <row r="29" customFormat="false" ht="15" hidden="false" customHeight="false" outlineLevel="0" collapsed="false">
      <c r="A29" s="3"/>
      <c r="B29" s="3"/>
      <c r="C29" s="3"/>
    </row>
    <row r="30" customFormat="false" ht="15" hidden="false" customHeight="false" outlineLevel="0" collapsed="false">
      <c r="A30" s="3"/>
      <c r="B30" s="3"/>
      <c r="C30" s="3"/>
    </row>
    <row r="31" customFormat="false" ht="15" hidden="false" customHeight="false" outlineLevel="0" collapsed="false">
      <c r="A31" s="3"/>
      <c r="B31" s="3"/>
      <c r="C31" s="3"/>
    </row>
    <row r="32" customFormat="false" ht="15" hidden="false" customHeight="false" outlineLevel="0" collapsed="false">
      <c r="A32" s="3"/>
      <c r="B32" s="3"/>
      <c r="C32" s="3"/>
    </row>
    <row r="33" customFormat="false" ht="15" hidden="false" customHeight="false" outlineLevel="0" collapsed="false">
      <c r="A33" s="3"/>
      <c r="B33" s="3"/>
      <c r="C33" s="3"/>
    </row>
    <row r="34" customFormat="false" ht="15" hidden="false" customHeight="false" outlineLevel="0" collapsed="false">
      <c r="A34" s="3"/>
      <c r="B34" s="3"/>
      <c r="C34" s="3"/>
    </row>
    <row r="35" customFormat="false" ht="15" hidden="false" customHeight="false" outlineLevel="0" collapsed="false">
      <c r="A35" s="3"/>
      <c r="B35" s="3"/>
      <c r="C35" s="3"/>
    </row>
    <row r="36" customFormat="false" ht="15" hidden="false" customHeight="false" outlineLevel="0" collapsed="false">
      <c r="A36" s="3"/>
      <c r="B36" s="3"/>
      <c r="C36" s="3"/>
    </row>
    <row r="37" customFormat="false" ht="15" hidden="false" customHeight="false" outlineLevel="0" collapsed="false">
      <c r="A37" s="3"/>
      <c r="B37" s="3"/>
      <c r="C37" s="3"/>
    </row>
    <row r="38" customFormat="false" ht="15" hidden="false" customHeight="false" outlineLevel="0" collapsed="false">
      <c r="A38" s="3"/>
      <c r="B38" s="3"/>
      <c r="C38" s="3"/>
    </row>
    <row r="39" customFormat="false" ht="15" hidden="false" customHeight="false" outlineLevel="0" collapsed="false">
      <c r="A39" s="3"/>
      <c r="B39" s="3"/>
      <c r="C39" s="3"/>
    </row>
    <row r="40" customFormat="false" ht="15" hidden="false" customHeight="false" outlineLevel="0" collapsed="false">
      <c r="A40" s="3"/>
      <c r="B40" s="3"/>
      <c r="C40" s="3"/>
    </row>
    <row r="41" customFormat="false" ht="15" hidden="false" customHeight="false" outlineLevel="0" collapsed="false">
      <c r="A41" s="3"/>
      <c r="B41" s="3"/>
      <c r="C41" s="3"/>
    </row>
    <row r="42" customFormat="false" ht="15" hidden="false" customHeight="false" outlineLevel="0" collapsed="false">
      <c r="A42" s="3"/>
      <c r="B42" s="3"/>
      <c r="C42" s="3"/>
    </row>
    <row r="43" customFormat="false" ht="15" hidden="false" customHeight="false" outlineLevel="0" collapsed="false">
      <c r="A43" s="3"/>
      <c r="B43" s="3"/>
      <c r="C43" s="3"/>
    </row>
    <row r="44" customFormat="false" ht="15" hidden="false" customHeight="false" outlineLevel="0" collapsed="false">
      <c r="A44" s="3"/>
      <c r="B44" s="3"/>
      <c r="C44" s="3"/>
    </row>
    <row r="45" customFormat="false" ht="15" hidden="false" customHeight="false" outlineLevel="0" collapsed="false">
      <c r="A45" s="3"/>
      <c r="B45" s="3"/>
      <c r="C45" s="3"/>
    </row>
    <row r="46" customFormat="false" ht="15" hidden="false" customHeight="false" outlineLevel="0" collapsed="false">
      <c r="A46" s="3"/>
      <c r="B46" s="3"/>
      <c r="C46" s="3"/>
    </row>
    <row r="47" customFormat="false" ht="15" hidden="false" customHeight="false" outlineLevel="0" collapsed="false">
      <c r="A47" s="3"/>
      <c r="B47" s="3"/>
      <c r="C47" s="3"/>
    </row>
    <row r="48" customFormat="false" ht="15" hidden="false" customHeight="false" outlineLevel="0" collapsed="false">
      <c r="A48" s="3"/>
      <c r="B48" s="3"/>
      <c r="C48" s="3"/>
    </row>
    <row r="49" customFormat="false" ht="15" hidden="false" customHeight="false" outlineLevel="0" collapsed="false">
      <c r="A49" s="3"/>
      <c r="B49" s="3"/>
      <c r="C49" s="3"/>
    </row>
    <row r="50" customFormat="false" ht="15" hidden="false" customHeight="false" outlineLevel="0" collapsed="false">
      <c r="A50" s="3"/>
      <c r="B50" s="3"/>
      <c r="C50" s="3"/>
    </row>
    <row r="51" customFormat="false" ht="15" hidden="false" customHeight="false" outlineLevel="0" collapsed="false">
      <c r="A51" s="3"/>
      <c r="B51" s="3"/>
      <c r="C51" s="3"/>
    </row>
    <row r="52" customFormat="false" ht="15" hidden="false" customHeight="false" outlineLevel="0" collapsed="false">
      <c r="A52" s="3"/>
      <c r="B52" s="3"/>
      <c r="C52" s="3"/>
    </row>
    <row r="53" customFormat="false" ht="15" hidden="false" customHeight="false" outlineLevel="0" collapsed="false">
      <c r="A53" s="3"/>
      <c r="B53" s="3"/>
      <c r="C53" s="3"/>
    </row>
    <row r="54" customFormat="false" ht="15" hidden="false" customHeight="false" outlineLevel="0" collapsed="false">
      <c r="A54" s="3"/>
      <c r="B54" s="3"/>
      <c r="C54" s="3"/>
    </row>
    <row r="55" customFormat="false" ht="15" hidden="false" customHeight="false" outlineLevel="0" collapsed="false">
      <c r="A55" s="3"/>
      <c r="B55" s="3"/>
      <c r="C55" s="3"/>
    </row>
    <row r="56" customFormat="false" ht="15" hidden="false" customHeight="false" outlineLevel="0" collapsed="false">
      <c r="A56" s="3"/>
      <c r="B56" s="3"/>
      <c r="C56" s="3"/>
    </row>
    <row r="57" customFormat="false" ht="15" hidden="false" customHeight="false" outlineLevel="0" collapsed="false">
      <c r="A57" s="3"/>
      <c r="B57" s="3"/>
      <c r="C57" s="3"/>
    </row>
    <row r="58" customFormat="false" ht="15" hidden="false" customHeight="false" outlineLevel="0" collapsed="false">
      <c r="A58" s="3"/>
      <c r="B58" s="3"/>
      <c r="C58" s="3"/>
    </row>
    <row r="59" customFormat="false" ht="15" hidden="false" customHeight="false" outlineLevel="0" collapsed="false">
      <c r="A59" s="3"/>
      <c r="B59" s="3"/>
      <c r="C59" s="3"/>
    </row>
    <row r="60" customFormat="false" ht="15" hidden="false" customHeight="false" outlineLevel="0" collapsed="false">
      <c r="A60" s="3"/>
      <c r="B60" s="3"/>
      <c r="C60" s="3"/>
    </row>
    <row r="61" customFormat="false" ht="15" hidden="false" customHeight="false" outlineLevel="0" collapsed="false">
      <c r="A61" s="3"/>
      <c r="B61" s="3"/>
      <c r="C61" s="3"/>
    </row>
    <row r="62" customFormat="false" ht="15" hidden="false" customHeight="false" outlineLevel="0" collapsed="false">
      <c r="A62" s="3"/>
      <c r="B62" s="3"/>
      <c r="C62" s="3"/>
    </row>
    <row r="63" customFormat="false" ht="15" hidden="false" customHeight="false" outlineLevel="0" collapsed="false">
      <c r="A63" s="3"/>
      <c r="B63" s="3"/>
      <c r="C63" s="3"/>
    </row>
    <row r="64" customFormat="false" ht="15" hidden="false" customHeight="false" outlineLevel="0" collapsed="false">
      <c r="A64" s="3"/>
      <c r="B64" s="3"/>
      <c r="C64" s="3"/>
    </row>
    <row r="65" customFormat="false" ht="15" hidden="false" customHeight="false" outlineLevel="0" collapsed="false">
      <c r="A65" s="3"/>
      <c r="B65" s="3"/>
      <c r="C65" s="3"/>
    </row>
    <row r="66" customFormat="false" ht="15" hidden="false" customHeight="false" outlineLevel="0" collapsed="false">
      <c r="A66" s="3"/>
      <c r="B66" s="3"/>
      <c r="C66" s="3"/>
    </row>
    <row r="67" customFormat="false" ht="15" hidden="false" customHeight="false" outlineLevel="0" collapsed="false">
      <c r="A67" s="3"/>
      <c r="B67" s="3"/>
      <c r="C67" s="3"/>
    </row>
    <row r="68" customFormat="false" ht="15" hidden="false" customHeight="false" outlineLevel="0" collapsed="false">
      <c r="A68" s="3"/>
      <c r="B68" s="3"/>
      <c r="C68" s="3"/>
    </row>
    <row r="69" customFormat="false" ht="15" hidden="false" customHeight="false" outlineLevel="0" collapsed="false">
      <c r="A69" s="3"/>
      <c r="B69" s="3"/>
      <c r="C69" s="3"/>
    </row>
    <row r="70" customFormat="false" ht="15" hidden="false" customHeight="false" outlineLevel="0" collapsed="false">
      <c r="A70" s="3"/>
      <c r="B70" s="3"/>
      <c r="C70" s="3"/>
    </row>
    <row r="71" customFormat="false" ht="15" hidden="false" customHeight="false" outlineLevel="0" collapsed="false">
      <c r="A71" s="3"/>
      <c r="B71" s="3"/>
      <c r="C71" s="3"/>
    </row>
    <row r="72" customFormat="false" ht="15" hidden="false" customHeight="false" outlineLevel="0" collapsed="false">
      <c r="A72" s="3"/>
      <c r="B72" s="3"/>
      <c r="C72" s="3"/>
    </row>
    <row r="73" customFormat="false" ht="15" hidden="false" customHeight="false" outlineLevel="0" collapsed="false">
      <c r="A73" s="3"/>
      <c r="B73" s="3"/>
      <c r="C73" s="3"/>
    </row>
    <row r="74" customFormat="false" ht="15" hidden="false" customHeight="false" outlineLevel="0" collapsed="false">
      <c r="A74" s="3"/>
      <c r="B74" s="3"/>
      <c r="C74" s="3"/>
    </row>
    <row r="75" customFormat="false" ht="15" hidden="false" customHeight="false" outlineLevel="0" collapsed="false">
      <c r="A75" s="3"/>
      <c r="B75" s="3"/>
      <c r="C75" s="3"/>
    </row>
    <row r="76" customFormat="false" ht="15" hidden="false" customHeight="false" outlineLevel="0" collapsed="false">
      <c r="A76" s="3"/>
      <c r="B76" s="3"/>
      <c r="C76" s="3"/>
    </row>
    <row r="77" customFormat="false" ht="15" hidden="false" customHeight="false" outlineLevel="0" collapsed="false">
      <c r="A77" s="3"/>
      <c r="B77" s="3"/>
      <c r="C77" s="3"/>
    </row>
    <row r="78" customFormat="false" ht="15" hidden="false" customHeight="false" outlineLevel="0" collapsed="false">
      <c r="A78" s="3"/>
      <c r="B78" s="3"/>
      <c r="C78" s="3"/>
    </row>
    <row r="79" customFormat="false" ht="15" hidden="false" customHeight="false" outlineLevel="0" collapsed="false">
      <c r="A79" s="3"/>
      <c r="B79" s="3"/>
      <c r="C79" s="3"/>
    </row>
    <row r="80" customFormat="false" ht="15" hidden="false" customHeight="false" outlineLevel="0" collapsed="false">
      <c r="A80" s="3"/>
      <c r="B80" s="3"/>
      <c r="C80" s="3"/>
    </row>
    <row r="81" customFormat="false" ht="15" hidden="false" customHeight="false" outlineLevel="0" collapsed="false">
      <c r="A81" s="3"/>
      <c r="B81" s="3"/>
      <c r="C81" s="3"/>
    </row>
    <row r="82" customFormat="false" ht="15" hidden="false" customHeight="false" outlineLevel="0" collapsed="false">
      <c r="A82" s="3"/>
      <c r="B82" s="3"/>
      <c r="C82" s="3"/>
    </row>
    <row r="83" customFormat="false" ht="15" hidden="false" customHeight="false" outlineLevel="0" collapsed="false">
      <c r="A83" s="3"/>
      <c r="B83" s="3"/>
      <c r="C83" s="3"/>
    </row>
    <row r="84" customFormat="false" ht="15" hidden="false" customHeight="false" outlineLevel="0" collapsed="false">
      <c r="A84" s="3"/>
      <c r="B84" s="3"/>
      <c r="C84" s="3"/>
    </row>
    <row r="85" customFormat="false" ht="15" hidden="false" customHeight="false" outlineLevel="0" collapsed="false">
      <c r="A85" s="3"/>
      <c r="B85" s="3"/>
      <c r="C85" s="3"/>
    </row>
    <row r="86" customFormat="false" ht="15" hidden="false" customHeight="false" outlineLevel="0" collapsed="false">
      <c r="A86" s="3"/>
      <c r="B86" s="3"/>
      <c r="C86" s="3"/>
    </row>
    <row r="87" customFormat="false" ht="15" hidden="false" customHeight="false" outlineLevel="0" collapsed="false">
      <c r="A87" s="3"/>
      <c r="B87" s="3"/>
      <c r="C87" s="3"/>
    </row>
    <row r="88" customFormat="false" ht="15" hidden="false" customHeight="false" outlineLevel="0" collapsed="false">
      <c r="A88" s="3"/>
      <c r="B88" s="3"/>
      <c r="C88" s="3"/>
    </row>
    <row r="89" customFormat="false" ht="15" hidden="false" customHeight="false" outlineLevel="0" collapsed="false">
      <c r="A89" s="3"/>
      <c r="B89" s="3"/>
      <c r="C89" s="3"/>
    </row>
    <row r="90" customFormat="false" ht="15" hidden="false" customHeight="false" outlineLevel="0" collapsed="false">
      <c r="A90" s="3"/>
      <c r="B90" s="3"/>
      <c r="C90" s="3"/>
    </row>
    <row r="91" customFormat="false" ht="15" hidden="false" customHeight="false" outlineLevel="0" collapsed="false">
      <c r="A91" s="3"/>
      <c r="B91" s="3"/>
      <c r="C91" s="3"/>
    </row>
    <row r="92" customFormat="false" ht="15" hidden="false" customHeight="false" outlineLevel="0" collapsed="false">
      <c r="A92" s="3"/>
      <c r="B92" s="3"/>
      <c r="C92" s="3"/>
    </row>
    <row r="93" customFormat="false" ht="15" hidden="false" customHeight="false" outlineLevel="0" collapsed="false">
      <c r="A93" s="3"/>
      <c r="B93" s="3"/>
      <c r="C93" s="3"/>
    </row>
    <row r="94" customFormat="false" ht="15" hidden="false" customHeight="false" outlineLevel="0" collapsed="false">
      <c r="A94" s="3"/>
      <c r="B94" s="3"/>
      <c r="C94" s="3"/>
    </row>
    <row r="95" customFormat="false" ht="15" hidden="false" customHeight="false" outlineLevel="0" collapsed="false">
      <c r="A95" s="3"/>
      <c r="B95" s="3"/>
      <c r="C95" s="3"/>
    </row>
    <row r="96" customFormat="false" ht="15" hidden="false" customHeight="false" outlineLevel="0" collapsed="false">
      <c r="A96" s="3"/>
      <c r="B96" s="3"/>
      <c r="C96" s="3"/>
    </row>
    <row r="97" customFormat="false" ht="15" hidden="false" customHeight="false" outlineLevel="0" collapsed="false">
      <c r="A97" s="3"/>
      <c r="B97" s="3"/>
      <c r="C97" s="3"/>
    </row>
    <row r="98" customFormat="false" ht="15" hidden="false" customHeight="false" outlineLevel="0" collapsed="false">
      <c r="A98" s="3"/>
      <c r="B98" s="3"/>
      <c r="C98" s="3"/>
    </row>
    <row r="99" customFormat="false" ht="15" hidden="false" customHeight="false" outlineLevel="0" collapsed="false">
      <c r="A99" s="3"/>
      <c r="B99" s="3"/>
      <c r="C99" s="3"/>
    </row>
    <row r="100" customFormat="false" ht="15" hidden="false" customHeight="false" outlineLevel="0" collapsed="false">
      <c r="A100" s="3"/>
      <c r="B100" s="3"/>
      <c r="C100" s="3"/>
    </row>
    <row r="101" customFormat="false" ht="15" hidden="false" customHeight="false" outlineLevel="0" collapsed="false">
      <c r="A101" s="3"/>
      <c r="B101" s="3"/>
      <c r="C101" s="3"/>
    </row>
    <row r="102" customFormat="false" ht="15" hidden="false" customHeight="false" outlineLevel="0" collapsed="false">
      <c r="A102" s="3"/>
      <c r="B102" s="3"/>
      <c r="C102" s="3"/>
    </row>
    <row r="103" customFormat="false" ht="15" hidden="false" customHeight="false" outlineLevel="0" collapsed="false">
      <c r="A103" s="3"/>
      <c r="B103" s="3"/>
      <c r="C103" s="3"/>
    </row>
    <row r="104" customFormat="false" ht="15" hidden="false" customHeight="false" outlineLevel="0" collapsed="false">
      <c r="A104" s="3"/>
      <c r="B104" s="3"/>
      <c r="C104" s="3"/>
    </row>
    <row r="105" customFormat="false" ht="15" hidden="false" customHeight="false" outlineLevel="0" collapsed="false">
      <c r="A105" s="3"/>
      <c r="B105" s="3"/>
      <c r="C105" s="3"/>
    </row>
    <row r="106" customFormat="false" ht="15" hidden="false" customHeight="false" outlineLevel="0" collapsed="false">
      <c r="A106" s="3"/>
      <c r="B106" s="3"/>
      <c r="C106" s="3"/>
    </row>
    <row r="107" customFormat="false" ht="15" hidden="false" customHeight="false" outlineLevel="0" collapsed="false">
      <c r="A107" s="3"/>
      <c r="B107" s="3"/>
      <c r="C107" s="3"/>
    </row>
    <row r="108" customFormat="false" ht="15" hidden="false" customHeight="false" outlineLevel="0" collapsed="false">
      <c r="A108" s="3"/>
      <c r="B108" s="3"/>
      <c r="C108" s="3"/>
    </row>
    <row r="109" customFormat="false" ht="15" hidden="false" customHeight="false" outlineLevel="0" collapsed="false">
      <c r="A109" s="3"/>
      <c r="B109" s="3"/>
      <c r="C109" s="3"/>
    </row>
    <row r="110" customFormat="false" ht="15" hidden="false" customHeight="false" outlineLevel="0" collapsed="false">
      <c r="A110" s="3"/>
      <c r="B110" s="3"/>
      <c r="C110" s="3"/>
    </row>
    <row r="111" customFormat="false" ht="15" hidden="false" customHeight="false" outlineLevel="0" collapsed="false">
      <c r="A111" s="3"/>
      <c r="B111" s="3"/>
      <c r="C111" s="3"/>
    </row>
    <row r="112" customFormat="false" ht="15" hidden="false" customHeight="false" outlineLevel="0" collapsed="false">
      <c r="A112" s="3"/>
      <c r="B112" s="3"/>
      <c r="C112" s="3"/>
    </row>
    <row r="113" customFormat="false" ht="15" hidden="false" customHeight="false" outlineLevel="0" collapsed="false">
      <c r="A113" s="3"/>
      <c r="B113" s="3"/>
      <c r="C113" s="3"/>
    </row>
    <row r="114" customFormat="false" ht="15" hidden="false" customHeight="false" outlineLevel="0" collapsed="false">
      <c r="A114" s="3"/>
      <c r="B114" s="3"/>
      <c r="C114" s="3"/>
    </row>
    <row r="115" customFormat="false" ht="15" hidden="false" customHeight="false" outlineLevel="0" collapsed="false">
      <c r="A115" s="3"/>
      <c r="B115" s="3"/>
      <c r="C115" s="3"/>
    </row>
    <row r="116" customFormat="false" ht="15" hidden="false" customHeight="false" outlineLevel="0" collapsed="false">
      <c r="A116" s="3"/>
      <c r="B116" s="3"/>
      <c r="C116" s="3"/>
    </row>
    <row r="117" customFormat="false" ht="15" hidden="false" customHeight="false" outlineLevel="0" collapsed="false">
      <c r="A117" s="3"/>
      <c r="B117" s="3"/>
      <c r="C117" s="3"/>
    </row>
    <row r="118" customFormat="false" ht="15" hidden="false" customHeight="false" outlineLevel="0" collapsed="false">
      <c r="A118" s="3"/>
      <c r="B118" s="3"/>
      <c r="C118" s="3"/>
    </row>
    <row r="119" customFormat="false" ht="15" hidden="false" customHeight="false" outlineLevel="0" collapsed="false">
      <c r="A119" s="3"/>
      <c r="B119" s="3"/>
      <c r="C119" s="3"/>
    </row>
    <row r="120" customFormat="false" ht="15" hidden="false" customHeight="false" outlineLevel="0" collapsed="false">
      <c r="A120" s="3"/>
      <c r="B120" s="3"/>
      <c r="C120" s="3"/>
    </row>
    <row r="121" customFormat="false" ht="15" hidden="false" customHeight="false" outlineLevel="0" collapsed="false">
      <c r="A121" s="3"/>
      <c r="B121" s="3"/>
      <c r="C121" s="3"/>
    </row>
    <row r="122" customFormat="false" ht="15" hidden="false" customHeight="false" outlineLevel="0" collapsed="false">
      <c r="A122" s="3"/>
      <c r="B122" s="3"/>
      <c r="C122" s="3"/>
    </row>
    <row r="123" customFormat="false" ht="15" hidden="false" customHeight="false" outlineLevel="0" collapsed="false">
      <c r="A123" s="3"/>
      <c r="B123" s="3"/>
      <c r="C123" s="3"/>
    </row>
    <row r="124" customFormat="false" ht="15" hidden="false" customHeight="false" outlineLevel="0" collapsed="false">
      <c r="A124" s="3"/>
      <c r="B124" s="3"/>
      <c r="C124" s="3"/>
    </row>
    <row r="125" customFormat="false" ht="15" hidden="false" customHeight="false" outlineLevel="0" collapsed="false">
      <c r="A125" s="3"/>
      <c r="B125" s="3"/>
      <c r="C125" s="3"/>
    </row>
    <row r="126" customFormat="false" ht="15" hidden="false" customHeight="false" outlineLevel="0" collapsed="false">
      <c r="A126" s="3"/>
      <c r="B126" s="3"/>
      <c r="C126" s="3"/>
    </row>
    <row r="127" customFormat="false" ht="15" hidden="false" customHeight="false" outlineLevel="0" collapsed="false">
      <c r="A127" s="3"/>
      <c r="B127" s="3"/>
      <c r="C127" s="3"/>
    </row>
    <row r="128" customFormat="false" ht="15" hidden="false" customHeight="false" outlineLevel="0" collapsed="false">
      <c r="A128" s="3"/>
      <c r="B128" s="3"/>
      <c r="C128" s="3"/>
    </row>
    <row r="129" customFormat="false" ht="15" hidden="false" customHeight="false" outlineLevel="0" collapsed="false">
      <c r="A129" s="3"/>
      <c r="B129" s="3"/>
      <c r="C129" s="3"/>
    </row>
    <row r="130" customFormat="false" ht="15" hidden="false" customHeight="false" outlineLevel="0" collapsed="false">
      <c r="A130" s="3"/>
      <c r="B130" s="3"/>
      <c r="C130" s="3"/>
    </row>
    <row r="131" customFormat="false" ht="15" hidden="false" customHeight="false" outlineLevel="0" collapsed="false">
      <c r="A131" s="3"/>
      <c r="B131" s="3"/>
      <c r="C131" s="3"/>
    </row>
    <row r="132" customFormat="false" ht="15" hidden="false" customHeight="false" outlineLevel="0" collapsed="false">
      <c r="A132" s="3"/>
      <c r="B132" s="3"/>
      <c r="C132" s="3"/>
    </row>
    <row r="133" customFormat="false" ht="15" hidden="false" customHeight="false" outlineLevel="0" collapsed="false">
      <c r="A133" s="3"/>
      <c r="B133" s="3"/>
      <c r="C133" s="3"/>
    </row>
    <row r="134" customFormat="false" ht="15" hidden="false" customHeight="false" outlineLevel="0" collapsed="false">
      <c r="A134" s="3"/>
      <c r="B134" s="3"/>
      <c r="C134" s="3"/>
    </row>
    <row r="135" customFormat="false" ht="15" hidden="false" customHeight="false" outlineLevel="0" collapsed="false">
      <c r="A135" s="3"/>
      <c r="B135" s="3"/>
      <c r="C135" s="3"/>
    </row>
    <row r="136" customFormat="false" ht="15" hidden="false" customHeight="false" outlineLevel="0" collapsed="false">
      <c r="A136" s="3"/>
      <c r="B136" s="3"/>
      <c r="C136" s="3"/>
    </row>
    <row r="137" customFormat="false" ht="15" hidden="false" customHeight="false" outlineLevel="0" collapsed="false">
      <c r="A137" s="3"/>
      <c r="B137" s="3"/>
      <c r="C137" s="3"/>
    </row>
    <row r="138" customFormat="false" ht="15" hidden="false" customHeight="false" outlineLevel="0" collapsed="false">
      <c r="A138" s="3"/>
      <c r="B138" s="3"/>
      <c r="C138" s="3"/>
    </row>
    <row r="139" customFormat="false" ht="15" hidden="false" customHeight="false" outlineLevel="0" collapsed="false">
      <c r="A139" s="3"/>
      <c r="B139" s="3"/>
      <c r="C139" s="3"/>
    </row>
    <row r="140" customFormat="false" ht="15" hidden="false" customHeight="false" outlineLevel="0" collapsed="false">
      <c r="A140" s="3"/>
      <c r="B140" s="3"/>
      <c r="C140" s="3"/>
    </row>
    <row r="141" customFormat="false" ht="15" hidden="false" customHeight="false" outlineLevel="0" collapsed="false">
      <c r="A141" s="3"/>
      <c r="B141" s="3"/>
      <c r="C141" s="3"/>
    </row>
    <row r="142" customFormat="false" ht="15" hidden="false" customHeight="false" outlineLevel="0" collapsed="false">
      <c r="A142" s="3"/>
      <c r="B142" s="3"/>
      <c r="C142" s="3"/>
    </row>
    <row r="143" customFormat="false" ht="15" hidden="false" customHeight="false" outlineLevel="0" collapsed="false">
      <c r="A143" s="3"/>
      <c r="B143" s="3"/>
      <c r="C143" s="3"/>
    </row>
    <row r="144" customFormat="false" ht="15" hidden="false" customHeight="false" outlineLevel="0" collapsed="false">
      <c r="A144" s="3"/>
      <c r="B144" s="3"/>
      <c r="C144" s="3"/>
    </row>
    <row r="145" customFormat="false" ht="15" hidden="false" customHeight="false" outlineLevel="0" collapsed="false">
      <c r="A145" s="3"/>
      <c r="B145" s="3"/>
      <c r="C145" s="3"/>
    </row>
    <row r="146" customFormat="false" ht="15" hidden="false" customHeight="false" outlineLevel="0" collapsed="false">
      <c r="A146" s="3"/>
      <c r="B146" s="3"/>
      <c r="C146" s="3"/>
    </row>
    <row r="147" customFormat="false" ht="15" hidden="false" customHeight="false" outlineLevel="0" collapsed="false">
      <c r="A147" s="3"/>
      <c r="B147" s="3"/>
      <c r="C147" s="3"/>
    </row>
    <row r="148" customFormat="false" ht="15" hidden="false" customHeight="false" outlineLevel="0" collapsed="false">
      <c r="A148" s="3"/>
      <c r="B148" s="3"/>
      <c r="C148" s="3"/>
    </row>
    <row r="149" customFormat="false" ht="15" hidden="false" customHeight="false" outlineLevel="0" collapsed="false">
      <c r="A149" s="3"/>
      <c r="B149" s="3"/>
      <c r="C149" s="3"/>
    </row>
    <row r="150" customFormat="false" ht="15" hidden="false" customHeight="false" outlineLevel="0" collapsed="false">
      <c r="A150" s="3"/>
      <c r="B150" s="3"/>
      <c r="C150" s="3"/>
    </row>
    <row r="151" customFormat="false" ht="15" hidden="false" customHeight="false" outlineLevel="0" collapsed="false">
      <c r="A151" s="3"/>
      <c r="B151" s="3"/>
      <c r="C151" s="3"/>
    </row>
    <row r="152" customFormat="false" ht="15" hidden="false" customHeight="false" outlineLevel="0" collapsed="false">
      <c r="A152" s="3"/>
      <c r="B152" s="3"/>
      <c r="C152" s="3"/>
    </row>
    <row r="153" customFormat="false" ht="15" hidden="false" customHeight="false" outlineLevel="0" collapsed="false">
      <c r="A153" s="3"/>
      <c r="B153" s="3"/>
      <c r="C153" s="3"/>
    </row>
    <row r="154" customFormat="false" ht="15" hidden="false" customHeight="false" outlineLevel="0" collapsed="false">
      <c r="A154" s="3"/>
      <c r="B154" s="3"/>
      <c r="C154" s="3"/>
    </row>
    <row r="155" customFormat="false" ht="15" hidden="false" customHeight="false" outlineLevel="0" collapsed="false">
      <c r="A155" s="3"/>
      <c r="B155" s="3"/>
      <c r="C155" s="3"/>
    </row>
    <row r="156" customFormat="false" ht="15" hidden="false" customHeight="false" outlineLevel="0" collapsed="false">
      <c r="A156" s="3"/>
      <c r="B156" s="3"/>
      <c r="C156" s="3"/>
    </row>
    <row r="157" customFormat="false" ht="15" hidden="false" customHeight="false" outlineLevel="0" collapsed="false">
      <c r="A157" s="3"/>
      <c r="B157" s="3"/>
      <c r="C157" s="3"/>
    </row>
    <row r="158" customFormat="false" ht="15" hidden="false" customHeight="false" outlineLevel="0" collapsed="false">
      <c r="A158" s="3"/>
      <c r="B158" s="3"/>
      <c r="C158" s="3"/>
    </row>
    <row r="159" customFormat="false" ht="15" hidden="false" customHeight="false" outlineLevel="0" collapsed="false">
      <c r="A159" s="3"/>
      <c r="B159" s="3"/>
      <c r="C159" s="3"/>
    </row>
    <row r="160" customFormat="false" ht="15" hidden="false" customHeight="false" outlineLevel="0" collapsed="false">
      <c r="A160" s="3"/>
      <c r="B160" s="3"/>
      <c r="C160" s="3"/>
    </row>
    <row r="161" customFormat="false" ht="15" hidden="false" customHeight="false" outlineLevel="0" collapsed="false">
      <c r="A161" s="3"/>
      <c r="B161" s="3"/>
      <c r="C161" s="3"/>
    </row>
    <row r="162" customFormat="false" ht="15" hidden="false" customHeight="false" outlineLevel="0" collapsed="false">
      <c r="A162" s="3"/>
      <c r="B162" s="3"/>
      <c r="C162" s="3"/>
    </row>
    <row r="163" customFormat="false" ht="15" hidden="false" customHeight="false" outlineLevel="0" collapsed="false">
      <c r="A163" s="3"/>
      <c r="B163" s="3"/>
      <c r="C163" s="3"/>
    </row>
    <row r="164" customFormat="false" ht="15" hidden="false" customHeight="false" outlineLevel="0" collapsed="false">
      <c r="A164" s="3"/>
      <c r="B164" s="3"/>
      <c r="C164" s="3"/>
    </row>
    <row r="165" customFormat="false" ht="15" hidden="false" customHeight="false" outlineLevel="0" collapsed="false">
      <c r="A165" s="3"/>
      <c r="B165" s="3"/>
      <c r="C165" s="3"/>
    </row>
    <row r="166" customFormat="false" ht="15" hidden="false" customHeight="false" outlineLevel="0" collapsed="false">
      <c r="A166" s="3"/>
      <c r="B166" s="3"/>
      <c r="C166" s="3"/>
    </row>
    <row r="167" customFormat="false" ht="15" hidden="false" customHeight="false" outlineLevel="0" collapsed="false">
      <c r="A167" s="3"/>
      <c r="B167" s="3"/>
      <c r="C167" s="3"/>
    </row>
    <row r="168" customFormat="false" ht="15" hidden="false" customHeight="false" outlineLevel="0" collapsed="false">
      <c r="A168" s="3"/>
      <c r="B168" s="3"/>
      <c r="C168" s="3"/>
    </row>
    <row r="169" customFormat="false" ht="15" hidden="false" customHeight="false" outlineLevel="0" collapsed="false">
      <c r="A169" s="3"/>
      <c r="B169" s="3"/>
      <c r="C169" s="3"/>
    </row>
    <row r="170" customFormat="false" ht="15" hidden="false" customHeight="false" outlineLevel="0" collapsed="false">
      <c r="A170" s="3"/>
      <c r="B170" s="3"/>
      <c r="C170" s="3"/>
    </row>
    <row r="171" customFormat="false" ht="15" hidden="false" customHeight="false" outlineLevel="0" collapsed="false">
      <c r="A171" s="3"/>
      <c r="B171" s="3"/>
      <c r="C171" s="3"/>
    </row>
    <row r="172" customFormat="false" ht="15" hidden="false" customHeight="false" outlineLevel="0" collapsed="false">
      <c r="A172" s="3"/>
      <c r="B172" s="3"/>
      <c r="C172" s="3"/>
    </row>
    <row r="173" customFormat="false" ht="15" hidden="false" customHeight="false" outlineLevel="0" collapsed="false">
      <c r="A173" s="3"/>
      <c r="B173" s="3"/>
      <c r="C173" s="3"/>
    </row>
    <row r="174" customFormat="false" ht="15" hidden="false" customHeight="false" outlineLevel="0" collapsed="false">
      <c r="A174" s="3"/>
      <c r="B174" s="3"/>
      <c r="C174" s="3"/>
    </row>
    <row r="175" customFormat="false" ht="15" hidden="false" customHeight="false" outlineLevel="0" collapsed="false">
      <c r="A175" s="3"/>
      <c r="B175" s="3"/>
      <c r="C175" s="3"/>
    </row>
    <row r="176" customFormat="false" ht="15" hidden="false" customHeight="false" outlineLevel="0" collapsed="false">
      <c r="A176" s="3"/>
      <c r="B176" s="3"/>
      <c r="C176" s="3"/>
    </row>
    <row r="177" customFormat="false" ht="15" hidden="false" customHeight="false" outlineLevel="0" collapsed="false">
      <c r="A177" s="3"/>
      <c r="B177" s="3"/>
      <c r="C177" s="3"/>
    </row>
    <row r="178" customFormat="false" ht="15" hidden="false" customHeight="false" outlineLevel="0" collapsed="false">
      <c r="A178" s="3"/>
      <c r="B178" s="3"/>
      <c r="C178" s="3"/>
    </row>
    <row r="179" customFormat="false" ht="15" hidden="false" customHeight="false" outlineLevel="0" collapsed="false">
      <c r="A179" s="3"/>
      <c r="B179" s="3"/>
      <c r="C179" s="3"/>
    </row>
    <row r="180" customFormat="false" ht="15" hidden="false" customHeight="false" outlineLevel="0" collapsed="false">
      <c r="A180" s="3"/>
      <c r="B180" s="3"/>
      <c r="C180" s="3"/>
    </row>
    <row r="181" customFormat="false" ht="15" hidden="false" customHeight="false" outlineLevel="0" collapsed="false">
      <c r="A181" s="3"/>
      <c r="B181" s="3"/>
      <c r="C181" s="3"/>
    </row>
    <row r="182" customFormat="false" ht="15" hidden="false" customHeight="false" outlineLevel="0" collapsed="false">
      <c r="A182" s="3"/>
      <c r="B182" s="3"/>
      <c r="C182" s="3"/>
    </row>
    <row r="183" customFormat="false" ht="15" hidden="false" customHeight="false" outlineLevel="0" collapsed="false">
      <c r="A183" s="3"/>
      <c r="B183" s="3"/>
      <c r="C183" s="3"/>
    </row>
    <row r="184" customFormat="false" ht="15" hidden="false" customHeight="false" outlineLevel="0" collapsed="false">
      <c r="A184" s="3"/>
      <c r="B184" s="3"/>
      <c r="C184" s="3"/>
    </row>
    <row r="185" customFormat="false" ht="15" hidden="false" customHeight="false" outlineLevel="0" collapsed="false">
      <c r="A185" s="3"/>
      <c r="B185" s="3"/>
      <c r="C185" s="3"/>
    </row>
    <row r="186" customFormat="false" ht="15" hidden="false" customHeight="false" outlineLevel="0" collapsed="false">
      <c r="A186" s="3"/>
      <c r="B186" s="3"/>
      <c r="C186" s="3"/>
    </row>
    <row r="187" customFormat="false" ht="15" hidden="false" customHeight="false" outlineLevel="0" collapsed="false">
      <c r="A187" s="3"/>
      <c r="B187" s="3"/>
      <c r="C187" s="3"/>
    </row>
    <row r="188" customFormat="false" ht="15" hidden="false" customHeight="false" outlineLevel="0" collapsed="false">
      <c r="A188" s="3"/>
      <c r="B188" s="3"/>
      <c r="C188" s="3"/>
    </row>
    <row r="189" customFormat="false" ht="15" hidden="false" customHeight="false" outlineLevel="0" collapsed="false">
      <c r="A189" s="3"/>
      <c r="B189" s="3"/>
      <c r="C189" s="3"/>
    </row>
    <row r="190" customFormat="false" ht="15" hidden="false" customHeight="false" outlineLevel="0" collapsed="false">
      <c r="A190" s="3"/>
      <c r="B190" s="3"/>
      <c r="C190" s="3"/>
    </row>
    <row r="191" customFormat="false" ht="15" hidden="false" customHeight="false" outlineLevel="0" collapsed="false">
      <c r="A191" s="3"/>
      <c r="B191" s="3"/>
      <c r="C191" s="3"/>
    </row>
    <row r="192" customFormat="false" ht="15" hidden="false" customHeight="false" outlineLevel="0" collapsed="false">
      <c r="A192" s="3"/>
      <c r="B192" s="3"/>
      <c r="C192" s="3"/>
    </row>
    <row r="193" customFormat="false" ht="15" hidden="false" customHeight="false" outlineLevel="0" collapsed="false">
      <c r="A193" s="3"/>
      <c r="B193" s="3"/>
      <c r="C193" s="3"/>
    </row>
    <row r="194" customFormat="false" ht="15" hidden="false" customHeight="false" outlineLevel="0" collapsed="false">
      <c r="A194" s="3"/>
      <c r="B194" s="3"/>
      <c r="C194" s="3"/>
    </row>
    <row r="195" customFormat="false" ht="15" hidden="false" customHeight="false" outlineLevel="0" collapsed="false">
      <c r="A195" s="3"/>
      <c r="B195" s="3"/>
      <c r="C195" s="3"/>
    </row>
    <row r="196" customFormat="false" ht="15" hidden="false" customHeight="false" outlineLevel="0" collapsed="false">
      <c r="A196" s="3"/>
      <c r="B196" s="3"/>
      <c r="C196" s="3"/>
    </row>
    <row r="197" customFormat="false" ht="15" hidden="false" customHeight="false" outlineLevel="0" collapsed="false">
      <c r="A197" s="3"/>
      <c r="B197" s="3"/>
      <c r="C197" s="3"/>
    </row>
    <row r="198" customFormat="false" ht="15" hidden="false" customHeight="false" outlineLevel="0" collapsed="false">
      <c r="A198" s="3"/>
      <c r="B198" s="3"/>
      <c r="C198" s="3"/>
    </row>
    <row r="199" customFormat="false" ht="15" hidden="false" customHeight="false" outlineLevel="0" collapsed="false">
      <c r="A199" s="3"/>
      <c r="B199" s="3"/>
      <c r="C199" s="3"/>
    </row>
    <row r="200" customFormat="false" ht="15" hidden="false" customHeight="false" outlineLevel="0" collapsed="false">
      <c r="A200" s="3"/>
      <c r="B200" s="3"/>
      <c r="C200" s="3"/>
    </row>
    <row r="201" customFormat="false" ht="15" hidden="false" customHeight="false" outlineLevel="0" collapsed="false">
      <c r="A201" s="3"/>
      <c r="B201" s="3"/>
      <c r="C201" s="3"/>
    </row>
    <row r="202" customFormat="false" ht="15" hidden="false" customHeight="false" outlineLevel="0" collapsed="false">
      <c r="A202" s="3"/>
      <c r="B202" s="3"/>
      <c r="C202" s="3"/>
    </row>
    <row r="203" customFormat="false" ht="15" hidden="false" customHeight="false" outlineLevel="0" collapsed="false">
      <c r="A203" s="3"/>
      <c r="B203" s="3"/>
      <c r="C203" s="3"/>
    </row>
    <row r="204" customFormat="false" ht="15" hidden="false" customHeight="false" outlineLevel="0" collapsed="false">
      <c r="A204" s="3"/>
      <c r="B204" s="3"/>
      <c r="C204" s="3"/>
    </row>
    <row r="205" customFormat="false" ht="15" hidden="false" customHeight="false" outlineLevel="0" collapsed="false">
      <c r="A205" s="3"/>
      <c r="B205" s="3"/>
      <c r="C205" s="3"/>
    </row>
    <row r="206" customFormat="false" ht="15" hidden="false" customHeight="false" outlineLevel="0" collapsed="false">
      <c r="A206" s="3"/>
      <c r="B206" s="3"/>
      <c r="C206" s="3"/>
    </row>
    <row r="207" customFormat="false" ht="15" hidden="false" customHeight="false" outlineLevel="0" collapsed="false">
      <c r="A207" s="3"/>
      <c r="B207" s="3"/>
      <c r="C207" s="3"/>
    </row>
    <row r="208" customFormat="false" ht="15" hidden="false" customHeight="false" outlineLevel="0" collapsed="false">
      <c r="A208" s="3"/>
      <c r="B208" s="3"/>
      <c r="C208" s="3"/>
    </row>
    <row r="209" customFormat="false" ht="15" hidden="false" customHeight="false" outlineLevel="0" collapsed="false">
      <c r="A209" s="3"/>
      <c r="B209" s="3"/>
      <c r="C209" s="3"/>
    </row>
    <row r="210" customFormat="false" ht="15" hidden="false" customHeight="false" outlineLevel="0" collapsed="false">
      <c r="A210" s="3"/>
      <c r="B210" s="3"/>
      <c r="C210" s="3"/>
    </row>
    <row r="211" customFormat="false" ht="15" hidden="false" customHeight="false" outlineLevel="0" collapsed="false">
      <c r="A211" s="3"/>
      <c r="B211" s="3"/>
      <c r="C211" s="3"/>
    </row>
    <row r="212" customFormat="false" ht="15" hidden="false" customHeight="false" outlineLevel="0" collapsed="false">
      <c r="A212" s="3"/>
      <c r="B212" s="3"/>
      <c r="C212" s="3"/>
    </row>
    <row r="213" customFormat="false" ht="15" hidden="false" customHeight="false" outlineLevel="0" collapsed="false">
      <c r="A213" s="3"/>
      <c r="B213" s="3"/>
      <c r="C213" s="3"/>
    </row>
    <row r="214" customFormat="false" ht="15" hidden="false" customHeight="false" outlineLevel="0" collapsed="false">
      <c r="A214" s="3"/>
      <c r="B214" s="3"/>
      <c r="C214" s="3"/>
    </row>
    <row r="215" customFormat="false" ht="15" hidden="false" customHeight="false" outlineLevel="0" collapsed="false">
      <c r="A215" s="3"/>
      <c r="B215" s="3"/>
      <c r="C215" s="3"/>
    </row>
    <row r="216" customFormat="false" ht="15" hidden="false" customHeight="false" outlineLevel="0" collapsed="false">
      <c r="A216" s="3"/>
      <c r="B216" s="3"/>
      <c r="C216" s="3"/>
    </row>
    <row r="217" customFormat="false" ht="15" hidden="false" customHeight="false" outlineLevel="0" collapsed="false">
      <c r="A217" s="3"/>
      <c r="B217" s="3"/>
      <c r="C217" s="3"/>
    </row>
    <row r="218" customFormat="false" ht="15" hidden="false" customHeight="false" outlineLevel="0" collapsed="false">
      <c r="A218" s="3"/>
      <c r="B218" s="3"/>
      <c r="C218" s="3"/>
    </row>
    <row r="219" customFormat="false" ht="15" hidden="false" customHeight="false" outlineLevel="0" collapsed="false">
      <c r="A219" s="3"/>
      <c r="B219" s="3"/>
      <c r="C219" s="3"/>
    </row>
    <row r="220" customFormat="false" ht="15" hidden="false" customHeight="false" outlineLevel="0" collapsed="false">
      <c r="A220" s="3"/>
      <c r="B220" s="3"/>
      <c r="C220" s="3"/>
    </row>
    <row r="221" customFormat="false" ht="15" hidden="false" customHeight="false" outlineLevel="0" collapsed="false">
      <c r="A221" s="3"/>
      <c r="B221" s="3"/>
      <c r="C221" s="3"/>
    </row>
    <row r="222" customFormat="false" ht="15" hidden="false" customHeight="false" outlineLevel="0" collapsed="false">
      <c r="A222" s="3"/>
      <c r="B222" s="3"/>
      <c r="C222" s="3"/>
    </row>
    <row r="223" customFormat="false" ht="15" hidden="false" customHeight="false" outlineLevel="0" collapsed="false">
      <c r="A223" s="3"/>
      <c r="B223" s="3"/>
      <c r="C223" s="3"/>
    </row>
    <row r="224" customFormat="false" ht="15" hidden="false" customHeight="false" outlineLevel="0" collapsed="false">
      <c r="A224" s="3"/>
      <c r="B224" s="3"/>
      <c r="C224" s="3"/>
    </row>
    <row r="225" customFormat="false" ht="15" hidden="false" customHeight="false" outlineLevel="0" collapsed="false">
      <c r="A225" s="3"/>
      <c r="B225" s="3"/>
      <c r="C225" s="3"/>
    </row>
    <row r="226" customFormat="false" ht="15" hidden="false" customHeight="false" outlineLevel="0" collapsed="false">
      <c r="A226" s="3"/>
      <c r="B226" s="3"/>
      <c r="C226" s="3"/>
    </row>
    <row r="227" customFormat="false" ht="15" hidden="false" customHeight="false" outlineLevel="0" collapsed="false">
      <c r="A227" s="3"/>
      <c r="B227" s="3"/>
      <c r="C227" s="3"/>
    </row>
    <row r="228" customFormat="false" ht="15" hidden="false" customHeight="false" outlineLevel="0" collapsed="false">
      <c r="A228" s="3"/>
      <c r="B228" s="3"/>
      <c r="C228" s="3"/>
    </row>
    <row r="229" customFormat="false" ht="15" hidden="false" customHeight="false" outlineLevel="0" collapsed="false">
      <c r="A229" s="3"/>
      <c r="B229" s="3"/>
      <c r="C229" s="3"/>
    </row>
    <row r="230" customFormat="false" ht="15" hidden="false" customHeight="false" outlineLevel="0" collapsed="false">
      <c r="A230" s="3"/>
      <c r="B230" s="3"/>
      <c r="C230" s="3"/>
    </row>
    <row r="231" customFormat="false" ht="15" hidden="false" customHeight="false" outlineLevel="0" collapsed="false">
      <c r="A231" s="3"/>
      <c r="B231" s="3"/>
      <c r="C231" s="3"/>
    </row>
    <row r="232" customFormat="false" ht="15" hidden="false" customHeight="false" outlineLevel="0" collapsed="false">
      <c r="A232" s="3"/>
      <c r="B232" s="3"/>
      <c r="C232" s="3"/>
    </row>
    <row r="233" customFormat="false" ht="15" hidden="false" customHeight="false" outlineLevel="0" collapsed="false">
      <c r="A233" s="3"/>
      <c r="B233" s="3"/>
      <c r="C233" s="3"/>
    </row>
    <row r="234" customFormat="false" ht="15" hidden="false" customHeight="false" outlineLevel="0" collapsed="false">
      <c r="A234" s="3"/>
      <c r="B234" s="3"/>
      <c r="C234" s="3"/>
    </row>
    <row r="235" customFormat="false" ht="15" hidden="false" customHeight="false" outlineLevel="0" collapsed="false">
      <c r="A235" s="3"/>
      <c r="B235" s="3"/>
      <c r="C235" s="3"/>
    </row>
    <row r="236" customFormat="false" ht="15" hidden="false" customHeight="false" outlineLevel="0" collapsed="false">
      <c r="A236" s="3"/>
      <c r="B236" s="3"/>
      <c r="C236" s="3"/>
    </row>
    <row r="237" customFormat="false" ht="15" hidden="false" customHeight="false" outlineLevel="0" collapsed="false">
      <c r="A237" s="3"/>
      <c r="B237" s="3"/>
      <c r="C237" s="3"/>
    </row>
    <row r="238" customFormat="false" ht="15" hidden="false" customHeight="false" outlineLevel="0" collapsed="false">
      <c r="A238" s="3"/>
      <c r="B238" s="3"/>
      <c r="C238" s="3"/>
    </row>
    <row r="239" customFormat="false" ht="15" hidden="false" customHeight="false" outlineLevel="0" collapsed="false">
      <c r="A239" s="3"/>
      <c r="B239" s="3"/>
      <c r="C239" s="3"/>
    </row>
    <row r="240" customFormat="false" ht="15" hidden="false" customHeight="false" outlineLevel="0" collapsed="false">
      <c r="A240" s="3"/>
      <c r="B240" s="3"/>
      <c r="C240" s="3"/>
    </row>
    <row r="241" customFormat="false" ht="15" hidden="false" customHeight="false" outlineLevel="0" collapsed="false">
      <c r="A241" s="3"/>
      <c r="B241" s="3"/>
      <c r="C241" s="3"/>
    </row>
    <row r="242" customFormat="false" ht="15" hidden="false" customHeight="false" outlineLevel="0" collapsed="false">
      <c r="A242" s="3"/>
      <c r="B242" s="3"/>
      <c r="C242" s="3"/>
    </row>
    <row r="243" customFormat="false" ht="15" hidden="false" customHeight="false" outlineLevel="0" collapsed="false">
      <c r="A243" s="3"/>
      <c r="B243" s="3"/>
      <c r="C243" s="3"/>
    </row>
    <row r="244" customFormat="false" ht="15" hidden="false" customHeight="false" outlineLevel="0" collapsed="false">
      <c r="A244" s="3"/>
      <c r="B244" s="3"/>
      <c r="C244" s="3"/>
    </row>
    <row r="245" customFormat="false" ht="15" hidden="false" customHeight="false" outlineLevel="0" collapsed="false">
      <c r="A245" s="3"/>
      <c r="B245" s="3"/>
      <c r="C245" s="3"/>
    </row>
    <row r="246" customFormat="false" ht="15" hidden="false" customHeight="false" outlineLevel="0" collapsed="false">
      <c r="A246" s="3"/>
      <c r="B246" s="3"/>
      <c r="C246" s="3"/>
    </row>
    <row r="247" customFormat="false" ht="15" hidden="false" customHeight="false" outlineLevel="0" collapsed="false">
      <c r="A247" s="3"/>
      <c r="B247" s="3"/>
      <c r="C247" s="3"/>
    </row>
    <row r="248" customFormat="false" ht="15" hidden="false" customHeight="false" outlineLevel="0" collapsed="false">
      <c r="A248" s="3"/>
      <c r="B248" s="3"/>
      <c r="C248" s="3"/>
    </row>
    <row r="249" customFormat="false" ht="15" hidden="false" customHeight="false" outlineLevel="0" collapsed="false">
      <c r="A249" s="3"/>
      <c r="B249" s="3"/>
      <c r="C249" s="3"/>
    </row>
    <row r="250" customFormat="false" ht="15" hidden="false" customHeight="false" outlineLevel="0" collapsed="false">
      <c r="A250" s="3"/>
      <c r="B250" s="3"/>
      <c r="C250" s="3"/>
    </row>
    <row r="251" customFormat="false" ht="15" hidden="false" customHeight="false" outlineLevel="0" collapsed="false">
      <c r="A251" s="3"/>
      <c r="B251" s="3"/>
      <c r="C251" s="3"/>
    </row>
    <row r="252" customFormat="false" ht="15" hidden="false" customHeight="false" outlineLevel="0" collapsed="false">
      <c r="A252" s="3"/>
      <c r="B252" s="3"/>
      <c r="C252" s="3"/>
    </row>
    <row r="253" customFormat="false" ht="15" hidden="false" customHeight="false" outlineLevel="0" collapsed="false">
      <c r="A253" s="3"/>
      <c r="B253" s="3"/>
      <c r="C253" s="3"/>
    </row>
    <row r="254" customFormat="false" ht="15" hidden="false" customHeight="false" outlineLevel="0" collapsed="false">
      <c r="A254" s="3"/>
      <c r="B254" s="3"/>
      <c r="C254" s="3"/>
    </row>
    <row r="255" customFormat="false" ht="15" hidden="false" customHeight="false" outlineLevel="0" collapsed="false">
      <c r="A255" s="3"/>
      <c r="B255" s="3"/>
      <c r="C255" s="3"/>
    </row>
    <row r="256" customFormat="false" ht="15" hidden="false" customHeight="false" outlineLevel="0" collapsed="false">
      <c r="A256" s="3"/>
      <c r="B256" s="3"/>
      <c r="C256" s="3"/>
    </row>
    <row r="257" customFormat="false" ht="15" hidden="false" customHeight="false" outlineLevel="0" collapsed="false">
      <c r="A257" s="3"/>
      <c r="B257" s="3"/>
      <c r="C257" s="3"/>
    </row>
    <row r="258" customFormat="false" ht="15" hidden="false" customHeight="false" outlineLevel="0" collapsed="false">
      <c r="A258" s="3"/>
      <c r="B258" s="3"/>
      <c r="C258" s="3"/>
    </row>
    <row r="259" customFormat="false" ht="15" hidden="false" customHeight="false" outlineLevel="0" collapsed="false">
      <c r="A259" s="3"/>
      <c r="B259" s="3"/>
      <c r="C259" s="3"/>
    </row>
    <row r="260" customFormat="false" ht="15" hidden="false" customHeight="false" outlineLevel="0" collapsed="false">
      <c r="A260" s="3"/>
      <c r="B260" s="3"/>
      <c r="C260" s="3"/>
    </row>
    <row r="261" customFormat="false" ht="15" hidden="false" customHeight="false" outlineLevel="0" collapsed="false">
      <c r="A261" s="3"/>
      <c r="B261" s="3"/>
      <c r="C261" s="3"/>
    </row>
    <row r="262" customFormat="false" ht="15" hidden="false" customHeight="false" outlineLevel="0" collapsed="false">
      <c r="A262" s="3"/>
      <c r="B262" s="3"/>
      <c r="C262" s="3"/>
    </row>
    <row r="263" customFormat="false" ht="15" hidden="false" customHeight="false" outlineLevel="0" collapsed="false">
      <c r="A263" s="3"/>
      <c r="B263" s="3"/>
      <c r="C263" s="3"/>
    </row>
    <row r="264" customFormat="false" ht="15" hidden="false" customHeight="false" outlineLevel="0" collapsed="false">
      <c r="A264" s="3"/>
      <c r="B264" s="3"/>
      <c r="C264" s="3"/>
    </row>
    <row r="265" customFormat="false" ht="15" hidden="false" customHeight="false" outlineLevel="0" collapsed="false">
      <c r="A265" s="3"/>
      <c r="B265" s="3"/>
      <c r="C265" s="3"/>
    </row>
    <row r="266" customFormat="false" ht="15" hidden="false" customHeight="false" outlineLevel="0" collapsed="false">
      <c r="A266" s="3"/>
      <c r="B266" s="3"/>
      <c r="C266" s="3"/>
    </row>
    <row r="267" customFormat="false" ht="15" hidden="false" customHeight="false" outlineLevel="0" collapsed="false">
      <c r="A267" s="3"/>
      <c r="B267" s="3"/>
      <c r="C267" s="3"/>
    </row>
    <row r="268" customFormat="false" ht="15" hidden="false" customHeight="false" outlineLevel="0" collapsed="false">
      <c r="A268" s="3"/>
      <c r="B268" s="3"/>
      <c r="C268" s="3"/>
    </row>
    <row r="269" customFormat="false" ht="15" hidden="false" customHeight="false" outlineLevel="0" collapsed="false">
      <c r="A269" s="3"/>
      <c r="B269" s="3"/>
      <c r="C269" s="3"/>
    </row>
    <row r="270" customFormat="false" ht="15" hidden="false" customHeight="false" outlineLevel="0" collapsed="false">
      <c r="A270" s="3"/>
      <c r="B270" s="3"/>
      <c r="C270" s="3"/>
    </row>
    <row r="271" customFormat="false" ht="15" hidden="false" customHeight="false" outlineLevel="0" collapsed="false">
      <c r="A271" s="3"/>
      <c r="B271" s="3"/>
      <c r="C271" s="3"/>
    </row>
    <row r="272" customFormat="false" ht="15" hidden="false" customHeight="false" outlineLevel="0" collapsed="false">
      <c r="A272" s="3"/>
      <c r="B272" s="3"/>
      <c r="C272" s="3"/>
    </row>
    <row r="273" customFormat="false" ht="15" hidden="false" customHeight="false" outlineLevel="0" collapsed="false">
      <c r="A273" s="3"/>
      <c r="B273" s="3"/>
      <c r="C273" s="3"/>
    </row>
    <row r="274" customFormat="false" ht="15" hidden="false" customHeight="false" outlineLevel="0" collapsed="false">
      <c r="A274" s="3"/>
      <c r="B274" s="3"/>
      <c r="C274" s="3"/>
    </row>
    <row r="275" customFormat="false" ht="15" hidden="false" customHeight="false" outlineLevel="0" collapsed="false">
      <c r="A275" s="3"/>
      <c r="B275" s="3"/>
      <c r="C275" s="3"/>
    </row>
    <row r="276" customFormat="false" ht="15" hidden="false" customHeight="false" outlineLevel="0" collapsed="false">
      <c r="A276" s="3"/>
      <c r="B276" s="3"/>
      <c r="C276" s="3"/>
    </row>
    <row r="277" customFormat="false" ht="15" hidden="false" customHeight="false" outlineLevel="0" collapsed="false">
      <c r="A277" s="3"/>
      <c r="B277" s="3"/>
      <c r="C277" s="3"/>
    </row>
    <row r="278" customFormat="false" ht="15" hidden="false" customHeight="false" outlineLevel="0" collapsed="false">
      <c r="A278" s="3"/>
      <c r="B278" s="3"/>
      <c r="C278" s="3"/>
    </row>
    <row r="279" customFormat="false" ht="15" hidden="false" customHeight="false" outlineLevel="0" collapsed="false">
      <c r="A279" s="3"/>
      <c r="B279" s="3"/>
      <c r="C279" s="3"/>
    </row>
    <row r="280" customFormat="false" ht="15" hidden="false" customHeight="false" outlineLevel="0" collapsed="false">
      <c r="A280" s="3"/>
      <c r="B280" s="3"/>
      <c r="C280" s="3"/>
    </row>
    <row r="281" customFormat="false" ht="15" hidden="false" customHeight="false" outlineLevel="0" collapsed="false">
      <c r="A281" s="3"/>
      <c r="B281" s="3"/>
      <c r="C281" s="3"/>
    </row>
    <row r="282" customFormat="false" ht="15" hidden="false" customHeight="false" outlineLevel="0" collapsed="false">
      <c r="A282" s="3"/>
      <c r="B282" s="3"/>
      <c r="C282" s="3"/>
    </row>
    <row r="283" customFormat="false" ht="15" hidden="false" customHeight="false" outlineLevel="0" collapsed="false">
      <c r="A283" s="3"/>
      <c r="B283" s="3"/>
      <c r="C283" s="3"/>
    </row>
    <row r="284" customFormat="false" ht="15" hidden="false" customHeight="false" outlineLevel="0" collapsed="false">
      <c r="A284" s="3"/>
      <c r="B284" s="3"/>
      <c r="C284" s="3"/>
    </row>
    <row r="285" customFormat="false" ht="15" hidden="false" customHeight="false" outlineLevel="0" collapsed="false">
      <c r="A285" s="3"/>
      <c r="B285" s="3"/>
      <c r="C285" s="3"/>
    </row>
    <row r="286" customFormat="false" ht="15" hidden="false" customHeight="false" outlineLevel="0" collapsed="false">
      <c r="A286" s="3"/>
      <c r="B286" s="3"/>
      <c r="C286" s="3"/>
    </row>
    <row r="287" customFormat="false" ht="15" hidden="false" customHeight="false" outlineLevel="0" collapsed="false">
      <c r="A287" s="3"/>
      <c r="B287" s="3"/>
      <c r="C287" s="3"/>
    </row>
    <row r="288" customFormat="false" ht="15" hidden="false" customHeight="false" outlineLevel="0" collapsed="false">
      <c r="A288" s="3"/>
      <c r="B288" s="3"/>
      <c r="C288" s="3"/>
    </row>
    <row r="289" customFormat="false" ht="15" hidden="false" customHeight="false" outlineLevel="0" collapsed="false">
      <c r="A289" s="3"/>
      <c r="B289" s="3"/>
      <c r="C289" s="3"/>
    </row>
    <row r="290" customFormat="false" ht="15" hidden="false" customHeight="false" outlineLevel="0" collapsed="false">
      <c r="A290" s="3"/>
      <c r="B290" s="3"/>
      <c r="C290" s="3"/>
    </row>
    <row r="291" customFormat="false" ht="15" hidden="false" customHeight="false" outlineLevel="0" collapsed="false">
      <c r="A291" s="3"/>
      <c r="B291" s="3"/>
      <c r="C291" s="3"/>
    </row>
    <row r="292" customFormat="false" ht="15" hidden="false" customHeight="false" outlineLevel="0" collapsed="false">
      <c r="A292" s="3"/>
      <c r="B292" s="3"/>
      <c r="C292" s="3"/>
    </row>
    <row r="293" customFormat="false" ht="15" hidden="false" customHeight="false" outlineLevel="0" collapsed="false">
      <c r="A293" s="3"/>
      <c r="B293" s="3"/>
      <c r="C293" s="3"/>
    </row>
    <row r="294" customFormat="false" ht="15" hidden="false" customHeight="false" outlineLevel="0" collapsed="false">
      <c r="A294" s="3"/>
      <c r="B294" s="3"/>
      <c r="C294" s="3"/>
    </row>
    <row r="295" customFormat="false" ht="15" hidden="false" customHeight="false" outlineLevel="0" collapsed="false">
      <c r="A295" s="3"/>
      <c r="B295" s="3"/>
      <c r="C295" s="3"/>
    </row>
    <row r="296" customFormat="false" ht="15" hidden="false" customHeight="false" outlineLevel="0" collapsed="false">
      <c r="A296" s="3"/>
      <c r="B296" s="3"/>
      <c r="C296" s="3"/>
    </row>
    <row r="297" customFormat="false" ht="15" hidden="false" customHeight="false" outlineLevel="0" collapsed="false">
      <c r="A297" s="3"/>
      <c r="B297" s="3"/>
      <c r="C297" s="3"/>
    </row>
    <row r="298" customFormat="false" ht="15" hidden="false" customHeight="false" outlineLevel="0" collapsed="false">
      <c r="A298" s="3"/>
      <c r="B298" s="3"/>
      <c r="C298" s="3"/>
    </row>
    <row r="299" customFormat="false" ht="15" hidden="false" customHeight="false" outlineLevel="0" collapsed="false">
      <c r="A299" s="3"/>
      <c r="B299" s="3"/>
      <c r="C299" s="3"/>
    </row>
    <row r="300" customFormat="false" ht="15" hidden="false" customHeight="false" outlineLevel="0" collapsed="false">
      <c r="A300" s="3"/>
      <c r="B300" s="3"/>
      <c r="C300" s="3"/>
    </row>
    <row r="301" customFormat="false" ht="15" hidden="false" customHeight="false" outlineLevel="0" collapsed="false">
      <c r="A301" s="3"/>
      <c r="B301" s="3"/>
      <c r="C3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45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5" t="s">
        <v>27</v>
      </c>
      <c r="B1" s="5" t="s">
        <v>29</v>
      </c>
      <c r="C1" s="5" t="s">
        <v>306</v>
      </c>
      <c r="D1" s="5" t="s">
        <v>307</v>
      </c>
      <c r="E1" s="5" t="s">
        <v>308</v>
      </c>
      <c r="F1" s="5" t="s">
        <v>309</v>
      </c>
      <c r="G1" s="5" t="s">
        <v>310</v>
      </c>
      <c r="H1" s="5" t="s">
        <v>56</v>
      </c>
    </row>
    <row r="2" customFormat="false" ht="26.85" hidden="false" customHeight="false" outlineLevel="0" collapsed="false">
      <c r="A2" s="3" t="s">
        <v>311</v>
      </c>
      <c r="B2" s="3" t="s">
        <v>58</v>
      </c>
      <c r="C2" s="3" t="n">
        <v>1</v>
      </c>
      <c r="D2" s="3" t="s">
        <v>312</v>
      </c>
      <c r="E2" s="3" t="s">
        <v>313</v>
      </c>
      <c r="F2" s="3" t="s">
        <v>314</v>
      </c>
      <c r="G2" s="3"/>
      <c r="H2" s="3" t="s">
        <v>315</v>
      </c>
    </row>
    <row r="3" customFormat="false" ht="52.2" hidden="false" customHeight="false" outlineLevel="0" collapsed="false">
      <c r="A3" s="3" t="s">
        <v>316</v>
      </c>
      <c r="B3" s="3" t="s">
        <v>317</v>
      </c>
      <c r="C3" s="3" t="n">
        <v>2</v>
      </c>
      <c r="D3" s="3" t="s">
        <v>318</v>
      </c>
      <c r="E3" s="3" t="s">
        <v>319</v>
      </c>
      <c r="F3" s="3" t="s">
        <v>314</v>
      </c>
      <c r="G3" s="3" t="s">
        <v>320</v>
      </c>
      <c r="H3" s="3" t="s">
        <v>321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</row>
  </sheetData>
  <conditionalFormatting sqref="E2:E301">
    <cfRule type="expression" priority="2" aboveAverage="0" equalAverage="0" bottom="0" percent="0" rank="0" text="" dxfId="0">
      <formula>LEN(E2)&gt;100</formula>
    </cfRule>
  </conditionalFormatting>
  <conditionalFormatting sqref="F2:F301">
    <cfRule type="expression" priority="3" aboveAverage="0" equalAverage="0" bottom="0" percent="0" rank="0" text="" dxfId="0">
      <formula>AND($F2&lt;&gt;"",LEFT($F2,8)&lt;&gt;"https://")</formula>
    </cfRule>
  </conditionalFormatting>
  <dataValidations count="1">
    <dataValidation allowBlank="true" error="Válassz a listából: IGEN, NEM" errorStyle="stop" errorTitle="Érvénytelen érték" operator="between" prompt="IGEN = látható, NEM = rejtve" promptTitle="Választás" showDropDown="false" showErrorMessage="true" showInputMessage="true" sqref="B2:B301" type="list">
      <formula1>"IGEN,NEM"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21.75" hidden="false" customHeight="true" outlineLevel="0" collapsed="false">
      <c r="A1" s="5" t="s">
        <v>235</v>
      </c>
      <c r="B1" s="5" t="s">
        <v>322</v>
      </c>
      <c r="C1" s="5" t="s">
        <v>183</v>
      </c>
      <c r="D1" s="5" t="s">
        <v>308</v>
      </c>
    </row>
    <row r="2" customFormat="false" ht="15" hidden="false" customHeight="false" outlineLevel="0" collapsed="false">
      <c r="A2" s="3" t="s">
        <v>323</v>
      </c>
      <c r="B2" s="7" t="n">
        <v>6</v>
      </c>
      <c r="C2" s="3" t="s">
        <v>324</v>
      </c>
      <c r="D2" s="3" t="s">
        <v>325</v>
      </c>
    </row>
    <row r="3" customFormat="false" ht="15" hidden="false" customHeight="false" outlineLevel="0" collapsed="false">
      <c r="A3" s="3" t="s">
        <v>326</v>
      </c>
      <c r="B3" s="7" t="n">
        <v>1</v>
      </c>
      <c r="C3" s="3" t="s">
        <v>324</v>
      </c>
      <c r="D3" s="3" t="s">
        <v>327</v>
      </c>
    </row>
    <row r="4" customFormat="false" ht="15" hidden="false" customHeight="false" outlineLevel="0" collapsed="false">
      <c r="A4" s="3" t="s">
        <v>328</v>
      </c>
      <c r="B4" s="7" t="n">
        <v>6</v>
      </c>
      <c r="C4" s="3" t="s">
        <v>329</v>
      </c>
      <c r="D4" s="3" t="s">
        <v>330</v>
      </c>
    </row>
    <row r="5" customFormat="false" ht="15" hidden="false" customHeight="false" outlineLevel="0" collapsed="false">
      <c r="A5" s="3" t="s">
        <v>331</v>
      </c>
      <c r="B5" s="7" t="n">
        <v>20</v>
      </c>
      <c r="C5" s="3" t="s">
        <v>329</v>
      </c>
      <c r="D5" s="3" t="s">
        <v>332</v>
      </c>
    </row>
    <row r="6" customFormat="false" ht="15" hidden="false" customHeight="false" outlineLevel="0" collapsed="false">
      <c r="A6" s="3" t="s">
        <v>333</v>
      </c>
      <c r="B6" s="7" t="n">
        <v>10</v>
      </c>
      <c r="C6" s="3" t="s">
        <v>329</v>
      </c>
      <c r="D6" s="3" t="s">
        <v>334</v>
      </c>
    </row>
    <row r="7" customFormat="false" ht="15" hidden="false" customHeight="false" outlineLevel="0" collapsed="false">
      <c r="A7" s="3" t="s">
        <v>335</v>
      </c>
      <c r="B7" s="7" t="n">
        <v>45</v>
      </c>
      <c r="C7" s="3" t="s">
        <v>329</v>
      </c>
      <c r="D7" s="3" t="s">
        <v>336</v>
      </c>
    </row>
    <row r="8" customFormat="false" ht="15" hidden="false" customHeight="false" outlineLevel="0" collapsed="false">
      <c r="A8" s="3" t="s">
        <v>337</v>
      </c>
      <c r="B8" s="7" t="n">
        <v>7</v>
      </c>
      <c r="C8" s="3" t="s">
        <v>329</v>
      </c>
      <c r="D8" s="3" t="s">
        <v>338</v>
      </c>
    </row>
    <row r="9" customFormat="false" ht="15" hidden="false" customHeight="false" outlineLevel="0" collapsed="false">
      <c r="A9" s="3" t="s">
        <v>339</v>
      </c>
      <c r="B9" s="7" t="n">
        <v>5</v>
      </c>
      <c r="C9" s="3" t="s">
        <v>340</v>
      </c>
      <c r="D9" s="3" t="s">
        <v>341</v>
      </c>
    </row>
    <row r="10" customFormat="false" ht="15" hidden="false" customHeight="false" outlineLevel="0" collapsed="false">
      <c r="A10" s="3"/>
      <c r="B10" s="3"/>
      <c r="C10" s="3"/>
      <c r="D10" s="3"/>
    </row>
    <row r="11" customFormat="false" ht="39.55" hidden="false" customHeight="false" outlineLevel="0" collapsed="false">
      <c r="A11" s="8" t="s">
        <v>342</v>
      </c>
      <c r="B11" s="3"/>
      <c r="C11" s="3"/>
      <c r="D11" s="3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5" hidden="false" customHeight="false" outlineLevel="0" collapsed="false">
      <c r="A13" s="3"/>
      <c r="B13" s="3"/>
      <c r="C13" s="3"/>
      <c r="D13" s="3"/>
    </row>
    <row r="14" customFormat="false" ht="15" hidden="false" customHeight="false" outlineLevel="0" collapsed="false">
      <c r="A14" s="3"/>
      <c r="B14" s="3"/>
      <c r="C14" s="3"/>
      <c r="D14" s="3"/>
    </row>
    <row r="15" customFormat="false" ht="15" hidden="false" customHeight="false" outlineLevel="0" collapsed="false">
      <c r="A15" s="3"/>
      <c r="B15" s="3"/>
      <c r="C15" s="3"/>
      <c r="D15" s="3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3"/>
      <c r="B17" s="3"/>
      <c r="C17" s="3"/>
      <c r="D17" s="3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3"/>
      <c r="B22" s="3"/>
      <c r="C22" s="3"/>
      <c r="D22" s="3"/>
    </row>
    <row r="23" customFormat="false" ht="15" hidden="false" customHeight="false" outlineLevel="0" collapsed="false">
      <c r="A23" s="3"/>
      <c r="B23" s="3"/>
      <c r="C23" s="3"/>
      <c r="D23" s="3"/>
    </row>
    <row r="24" customFormat="false" ht="15" hidden="false" customHeight="false" outlineLevel="0" collapsed="false">
      <c r="A24" s="3"/>
      <c r="B24" s="3"/>
      <c r="C24" s="3"/>
      <c r="D24" s="3"/>
    </row>
    <row r="25" customFormat="false" ht="15" hidden="false" customHeight="false" outlineLevel="0" collapsed="false">
      <c r="A25" s="3"/>
      <c r="B25" s="3"/>
      <c r="C25" s="3"/>
      <c r="D25" s="3"/>
    </row>
    <row r="26" customFormat="false" ht="15" hidden="false" customHeight="false" outlineLevel="0" collapsed="false">
      <c r="A26" s="3"/>
      <c r="B26" s="3"/>
      <c r="C26" s="3"/>
      <c r="D26" s="3"/>
    </row>
    <row r="27" customFormat="false" ht="15" hidden="false" customHeight="false" outlineLevel="0" collapsed="false">
      <c r="A27" s="3"/>
      <c r="B27" s="3"/>
      <c r="C27" s="3"/>
      <c r="D27" s="3"/>
    </row>
    <row r="28" customFormat="false" ht="15" hidden="false" customHeight="false" outlineLevel="0" collapsed="false">
      <c r="A28" s="3"/>
      <c r="B28" s="3"/>
      <c r="C28" s="3"/>
      <c r="D28" s="3"/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5" hidden="false" customHeight="false" outlineLevel="0" collapsed="false">
      <c r="A30" s="3"/>
      <c r="B30" s="3"/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3"/>
      <c r="B32" s="3"/>
      <c r="C32" s="3"/>
      <c r="D32" s="3"/>
    </row>
    <row r="33" customFormat="false" ht="15" hidden="false" customHeight="false" outlineLevel="0" collapsed="false">
      <c r="A33" s="3"/>
      <c r="B33" s="3"/>
      <c r="C33" s="3"/>
      <c r="D33" s="3"/>
    </row>
    <row r="34" customFormat="false" ht="15" hidden="false" customHeight="false" outlineLevel="0" collapsed="false">
      <c r="A34" s="3"/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/>
      <c r="B36" s="3"/>
      <c r="C36" s="3"/>
      <c r="D36" s="3"/>
    </row>
    <row r="37" customFormat="false" ht="15" hidden="false" customHeight="false" outlineLevel="0" collapsed="false">
      <c r="A37" s="3"/>
      <c r="B37" s="3"/>
      <c r="C37" s="3"/>
      <c r="D37" s="3"/>
    </row>
    <row r="38" customFormat="false" ht="15" hidden="false" customHeight="false" outlineLevel="0" collapsed="false">
      <c r="A38" s="3"/>
      <c r="B38" s="3"/>
      <c r="C38" s="3"/>
      <c r="D38" s="3"/>
    </row>
    <row r="39" customFormat="false" ht="15" hidden="false" customHeight="false" outlineLevel="0" collapsed="false">
      <c r="A39" s="3"/>
      <c r="B39" s="3"/>
      <c r="C39" s="3"/>
      <c r="D39" s="3"/>
    </row>
    <row r="40" customFormat="false" ht="15" hidden="false" customHeight="false" outlineLevel="0" collapsed="false">
      <c r="A40" s="3"/>
      <c r="B40" s="3"/>
      <c r="C40" s="3"/>
      <c r="D40" s="3"/>
    </row>
    <row r="41" customFormat="false" ht="15" hidden="false" customHeight="false" outlineLevel="0" collapsed="false">
      <c r="A41" s="3"/>
      <c r="B41" s="3"/>
      <c r="C41" s="3"/>
      <c r="D41" s="3"/>
    </row>
    <row r="42" customFormat="false" ht="15" hidden="false" customHeight="false" outlineLevel="0" collapsed="false">
      <c r="A42" s="3"/>
      <c r="B42" s="3"/>
      <c r="C42" s="3"/>
      <c r="D42" s="3"/>
    </row>
    <row r="43" customFormat="false" ht="15" hidden="false" customHeight="false" outlineLevel="0" collapsed="false">
      <c r="A43" s="3"/>
      <c r="B43" s="3"/>
      <c r="C43" s="3"/>
      <c r="D43" s="3"/>
    </row>
    <row r="44" customFormat="false" ht="15" hidden="false" customHeight="false" outlineLevel="0" collapsed="false">
      <c r="A44" s="3"/>
      <c r="B44" s="3"/>
      <c r="C44" s="3"/>
      <c r="D44" s="3"/>
    </row>
    <row r="45" customFormat="false" ht="15" hidden="false" customHeight="false" outlineLevel="0" collapsed="false">
      <c r="A45" s="3"/>
      <c r="B45" s="3"/>
      <c r="C45" s="3"/>
      <c r="D45" s="3"/>
    </row>
    <row r="46" customFormat="false" ht="15" hidden="false" customHeight="false" outlineLevel="0" collapsed="false">
      <c r="A46" s="3"/>
      <c r="B46" s="3"/>
      <c r="C46" s="3"/>
      <c r="D46" s="3"/>
    </row>
    <row r="47" customFormat="false" ht="15" hidden="false" customHeight="false" outlineLevel="0" collapsed="false">
      <c r="A47" s="3"/>
      <c r="B47" s="3"/>
      <c r="C47" s="3"/>
      <c r="D47" s="3"/>
    </row>
    <row r="48" customFormat="false" ht="15" hidden="false" customHeight="false" outlineLevel="0" collapsed="false">
      <c r="A48" s="3"/>
      <c r="B48" s="3"/>
      <c r="C48" s="3"/>
      <c r="D48" s="3"/>
    </row>
    <row r="49" customFormat="false" ht="15" hidden="false" customHeight="false" outlineLevel="0" collapsed="false">
      <c r="A49" s="3"/>
      <c r="B49" s="3"/>
      <c r="C49" s="3"/>
      <c r="D49" s="3"/>
    </row>
    <row r="50" customFormat="false" ht="15" hidden="false" customHeight="false" outlineLevel="0" collapsed="false">
      <c r="A50" s="3"/>
      <c r="B50" s="3"/>
      <c r="C50" s="3"/>
      <c r="D50" s="3"/>
    </row>
    <row r="51" customFormat="false" ht="15" hidden="false" customHeight="false" outlineLevel="0" collapsed="false">
      <c r="A51" s="3"/>
      <c r="B51" s="3"/>
      <c r="C51" s="3"/>
      <c r="D51" s="3"/>
    </row>
    <row r="52" customFormat="false" ht="15" hidden="false" customHeight="false" outlineLevel="0" collapsed="false">
      <c r="A52" s="3"/>
      <c r="B52" s="3"/>
      <c r="C52" s="3"/>
      <c r="D52" s="3"/>
    </row>
    <row r="53" customFormat="false" ht="15" hidden="false" customHeight="false" outlineLevel="0" collapsed="false">
      <c r="A53" s="3"/>
      <c r="B53" s="3"/>
      <c r="C53" s="3"/>
      <c r="D53" s="3"/>
    </row>
    <row r="54" customFormat="false" ht="15" hidden="false" customHeight="false" outlineLevel="0" collapsed="false">
      <c r="A54" s="3"/>
      <c r="B54" s="3"/>
      <c r="C54" s="3"/>
      <c r="D54" s="3"/>
    </row>
    <row r="55" customFormat="false" ht="15" hidden="false" customHeight="false" outlineLevel="0" collapsed="false">
      <c r="A55" s="3"/>
      <c r="B55" s="3"/>
      <c r="C55" s="3"/>
      <c r="D55" s="3"/>
    </row>
    <row r="56" customFormat="false" ht="15" hidden="false" customHeight="false" outlineLevel="0" collapsed="false">
      <c r="A56" s="3"/>
      <c r="B56" s="3"/>
      <c r="C56" s="3"/>
      <c r="D56" s="3"/>
    </row>
    <row r="57" customFormat="false" ht="15" hidden="false" customHeight="false" outlineLevel="0" collapsed="false">
      <c r="A57" s="3"/>
      <c r="B57" s="3"/>
      <c r="C57" s="3"/>
      <c r="D57" s="3"/>
    </row>
    <row r="58" customFormat="false" ht="15" hidden="false" customHeight="false" outlineLevel="0" collapsed="false">
      <c r="A58" s="3"/>
      <c r="B58" s="3"/>
      <c r="C58" s="3"/>
      <c r="D58" s="3"/>
    </row>
    <row r="59" customFormat="false" ht="15" hidden="false" customHeight="false" outlineLevel="0" collapsed="false">
      <c r="A59" s="3"/>
      <c r="B59" s="3"/>
      <c r="C59" s="3"/>
      <c r="D59" s="3"/>
    </row>
    <row r="60" customFormat="false" ht="15" hidden="false" customHeight="false" outlineLevel="0" collapsed="false">
      <c r="A60" s="3"/>
      <c r="B60" s="3"/>
      <c r="C60" s="3"/>
      <c r="D60" s="3"/>
    </row>
    <row r="61" customFormat="false" ht="15" hidden="false" customHeight="false" outlineLevel="0" collapsed="false">
      <c r="A61" s="3"/>
      <c r="B61" s="3"/>
      <c r="C61" s="3"/>
      <c r="D61" s="3"/>
    </row>
    <row r="62" customFormat="false" ht="15" hidden="false" customHeight="false" outlineLevel="0" collapsed="false">
      <c r="A62" s="3"/>
      <c r="B62" s="3"/>
      <c r="C62" s="3"/>
      <c r="D62" s="3"/>
    </row>
    <row r="63" customFormat="false" ht="15" hidden="false" customHeight="false" outlineLevel="0" collapsed="false">
      <c r="A63" s="3"/>
      <c r="B63" s="3"/>
      <c r="C63" s="3"/>
      <c r="D63" s="3"/>
    </row>
    <row r="64" customFormat="false" ht="15" hidden="false" customHeight="false" outlineLevel="0" collapsed="false">
      <c r="A64" s="3"/>
      <c r="B64" s="3"/>
      <c r="C64" s="3"/>
      <c r="D64" s="3"/>
    </row>
    <row r="65" customFormat="false" ht="15" hidden="false" customHeight="false" outlineLevel="0" collapsed="false">
      <c r="A65" s="3"/>
      <c r="B65" s="3"/>
      <c r="C65" s="3"/>
      <c r="D65" s="3"/>
    </row>
    <row r="66" customFormat="false" ht="15" hidden="false" customHeight="false" outlineLevel="0" collapsed="false">
      <c r="A66" s="3"/>
      <c r="B66" s="3"/>
      <c r="C66" s="3"/>
      <c r="D66" s="3"/>
    </row>
    <row r="67" customFormat="false" ht="15" hidden="false" customHeight="false" outlineLevel="0" collapsed="false">
      <c r="A67" s="3"/>
      <c r="B67" s="3"/>
      <c r="C67" s="3"/>
      <c r="D67" s="3"/>
    </row>
    <row r="68" customFormat="false" ht="15" hidden="false" customHeight="false" outlineLevel="0" collapsed="false">
      <c r="A68" s="3"/>
      <c r="B68" s="3"/>
      <c r="C68" s="3"/>
      <c r="D68" s="3"/>
    </row>
    <row r="69" customFormat="false" ht="15" hidden="false" customHeight="false" outlineLevel="0" collapsed="false">
      <c r="A69" s="3"/>
      <c r="B69" s="3"/>
      <c r="C69" s="3"/>
      <c r="D69" s="3"/>
    </row>
    <row r="70" customFormat="false" ht="15" hidden="false" customHeight="false" outlineLevel="0" collapsed="false">
      <c r="A70" s="3"/>
      <c r="B70" s="3"/>
      <c r="C70" s="3"/>
      <c r="D70" s="3"/>
    </row>
    <row r="71" customFormat="false" ht="15" hidden="false" customHeight="false" outlineLevel="0" collapsed="false">
      <c r="A71" s="3"/>
      <c r="B71" s="3"/>
      <c r="C71" s="3"/>
      <c r="D71" s="3"/>
    </row>
    <row r="72" customFormat="false" ht="15" hidden="false" customHeight="false" outlineLevel="0" collapsed="false">
      <c r="A72" s="3"/>
      <c r="B72" s="3"/>
      <c r="C72" s="3"/>
      <c r="D72" s="3"/>
    </row>
    <row r="73" customFormat="false" ht="15" hidden="false" customHeight="false" outlineLevel="0" collapsed="false">
      <c r="A73" s="3"/>
      <c r="B73" s="3"/>
      <c r="C73" s="3"/>
      <c r="D73" s="3"/>
    </row>
    <row r="74" customFormat="false" ht="15" hidden="false" customHeight="false" outlineLevel="0" collapsed="false">
      <c r="A74" s="3"/>
      <c r="B74" s="3"/>
      <c r="C74" s="3"/>
      <c r="D74" s="3"/>
    </row>
    <row r="75" customFormat="false" ht="15" hidden="false" customHeight="false" outlineLevel="0" collapsed="false">
      <c r="A75" s="3"/>
      <c r="B75" s="3"/>
      <c r="C75" s="3"/>
      <c r="D75" s="3"/>
    </row>
    <row r="76" customFormat="false" ht="15" hidden="false" customHeight="false" outlineLevel="0" collapsed="false">
      <c r="A76" s="3"/>
      <c r="B76" s="3"/>
      <c r="C76" s="3"/>
      <c r="D76" s="3"/>
    </row>
    <row r="77" customFormat="false" ht="15" hidden="false" customHeight="false" outlineLevel="0" collapsed="false">
      <c r="A77" s="3"/>
      <c r="B77" s="3"/>
      <c r="C77" s="3"/>
      <c r="D77" s="3"/>
    </row>
    <row r="78" customFormat="false" ht="15" hidden="false" customHeight="false" outlineLevel="0" collapsed="false">
      <c r="A78" s="3"/>
      <c r="B78" s="3"/>
      <c r="C78" s="3"/>
      <c r="D78" s="3"/>
    </row>
    <row r="79" customFormat="false" ht="15" hidden="false" customHeight="false" outlineLevel="0" collapsed="false">
      <c r="A79" s="3"/>
      <c r="B79" s="3"/>
      <c r="C79" s="3"/>
      <c r="D79" s="3"/>
    </row>
    <row r="80" customFormat="false" ht="15" hidden="false" customHeight="false" outlineLevel="0" collapsed="false">
      <c r="A80" s="3"/>
      <c r="B80" s="3"/>
      <c r="C80" s="3"/>
      <c r="D80" s="3"/>
    </row>
    <row r="81" customFormat="false" ht="15" hidden="false" customHeight="false" outlineLevel="0" collapsed="false">
      <c r="A81" s="3"/>
      <c r="B81" s="3"/>
      <c r="C81" s="3"/>
      <c r="D81" s="3"/>
    </row>
    <row r="82" customFormat="false" ht="15" hidden="false" customHeight="false" outlineLevel="0" collapsed="false">
      <c r="A82" s="3"/>
      <c r="B82" s="3"/>
      <c r="C82" s="3"/>
      <c r="D82" s="3"/>
    </row>
    <row r="83" customFormat="false" ht="15" hidden="false" customHeight="false" outlineLevel="0" collapsed="false">
      <c r="A83" s="3"/>
      <c r="B83" s="3"/>
      <c r="C83" s="3"/>
      <c r="D83" s="3"/>
    </row>
    <row r="84" customFormat="false" ht="15" hidden="false" customHeight="false" outlineLevel="0" collapsed="false">
      <c r="A84" s="3"/>
      <c r="B84" s="3"/>
      <c r="C84" s="3"/>
      <c r="D84" s="3"/>
    </row>
    <row r="85" customFormat="false" ht="15" hidden="false" customHeight="false" outlineLevel="0" collapsed="false">
      <c r="A85" s="3"/>
      <c r="B85" s="3"/>
      <c r="C85" s="3"/>
      <c r="D85" s="3"/>
    </row>
    <row r="86" customFormat="false" ht="15" hidden="false" customHeight="false" outlineLevel="0" collapsed="false">
      <c r="A86" s="3"/>
      <c r="B86" s="3"/>
      <c r="C86" s="3"/>
      <c r="D86" s="3"/>
    </row>
    <row r="87" customFormat="false" ht="15" hidden="false" customHeight="false" outlineLevel="0" collapsed="false">
      <c r="A87" s="3"/>
      <c r="B87" s="3"/>
      <c r="C87" s="3"/>
      <c r="D87" s="3"/>
    </row>
    <row r="88" customFormat="false" ht="15" hidden="false" customHeight="false" outlineLevel="0" collapsed="false">
      <c r="A88" s="3"/>
      <c r="B88" s="3"/>
      <c r="C88" s="3"/>
      <c r="D88" s="3"/>
    </row>
    <row r="89" customFormat="false" ht="15" hidden="false" customHeight="false" outlineLevel="0" collapsed="false">
      <c r="A89" s="3"/>
      <c r="B89" s="3"/>
      <c r="C89" s="3"/>
      <c r="D89" s="3"/>
    </row>
    <row r="90" customFormat="false" ht="15" hidden="false" customHeight="false" outlineLevel="0" collapsed="false">
      <c r="A90" s="3"/>
      <c r="B90" s="3"/>
      <c r="C90" s="3"/>
      <c r="D90" s="3"/>
    </row>
    <row r="91" customFormat="false" ht="15" hidden="false" customHeight="false" outlineLevel="0" collapsed="false">
      <c r="A91" s="3"/>
      <c r="B91" s="3"/>
      <c r="C91" s="3"/>
      <c r="D91" s="3"/>
    </row>
    <row r="92" customFormat="false" ht="15" hidden="false" customHeight="false" outlineLevel="0" collapsed="false">
      <c r="A92" s="3"/>
      <c r="B92" s="3"/>
      <c r="C92" s="3"/>
      <c r="D92" s="3"/>
    </row>
    <row r="93" customFormat="false" ht="15" hidden="false" customHeight="false" outlineLevel="0" collapsed="false">
      <c r="A93" s="3"/>
      <c r="B93" s="3"/>
      <c r="C93" s="3"/>
      <c r="D93" s="3"/>
    </row>
    <row r="94" customFormat="false" ht="15" hidden="false" customHeight="false" outlineLevel="0" collapsed="false">
      <c r="A94" s="3"/>
      <c r="B94" s="3"/>
      <c r="C94" s="3"/>
      <c r="D94" s="3"/>
    </row>
    <row r="95" customFormat="false" ht="15" hidden="false" customHeight="false" outlineLevel="0" collapsed="false">
      <c r="A95" s="3"/>
      <c r="B95" s="3"/>
      <c r="C95" s="3"/>
      <c r="D95" s="3"/>
    </row>
    <row r="96" customFormat="false" ht="15" hidden="false" customHeight="false" outlineLevel="0" collapsed="false">
      <c r="A96" s="3"/>
      <c r="B96" s="3"/>
      <c r="C96" s="3"/>
      <c r="D96" s="3"/>
    </row>
    <row r="97" customFormat="false" ht="15" hidden="false" customHeight="false" outlineLevel="0" collapsed="false">
      <c r="A97" s="3"/>
      <c r="B97" s="3"/>
      <c r="C97" s="3"/>
      <c r="D97" s="3"/>
    </row>
    <row r="98" customFormat="false" ht="15" hidden="false" customHeight="false" outlineLevel="0" collapsed="false">
      <c r="A98" s="3"/>
      <c r="B98" s="3"/>
      <c r="C98" s="3"/>
      <c r="D98" s="3"/>
    </row>
    <row r="99" customFormat="false" ht="15" hidden="false" customHeight="false" outlineLevel="0" collapsed="false">
      <c r="A99" s="3"/>
      <c r="B99" s="3"/>
      <c r="C99" s="3"/>
      <c r="D99" s="3"/>
    </row>
    <row r="100" customFormat="false" ht="15" hidden="false" customHeight="false" outlineLevel="0" collapsed="false">
      <c r="A100" s="3"/>
      <c r="B100" s="3"/>
      <c r="C100" s="3"/>
      <c r="D100" s="3"/>
    </row>
    <row r="101" customFormat="false" ht="15" hidden="false" customHeight="false" outlineLevel="0" collapsed="false">
      <c r="A101" s="3"/>
      <c r="B101" s="3"/>
      <c r="C101" s="3"/>
      <c r="D101" s="3"/>
    </row>
    <row r="102" customFormat="false" ht="15" hidden="false" customHeight="false" outlineLevel="0" collapsed="false">
      <c r="A102" s="3"/>
      <c r="B102" s="3"/>
      <c r="C102" s="3"/>
      <c r="D102" s="3"/>
    </row>
    <row r="103" customFormat="false" ht="15" hidden="false" customHeight="false" outlineLevel="0" collapsed="false">
      <c r="A103" s="3"/>
      <c r="B103" s="3"/>
      <c r="C103" s="3"/>
      <c r="D103" s="3"/>
    </row>
    <row r="104" customFormat="false" ht="15" hidden="false" customHeight="false" outlineLevel="0" collapsed="false">
      <c r="A104" s="3"/>
      <c r="B104" s="3"/>
      <c r="C104" s="3"/>
      <c r="D104" s="3"/>
    </row>
    <row r="105" customFormat="false" ht="15" hidden="false" customHeight="false" outlineLevel="0" collapsed="false">
      <c r="A105" s="3"/>
      <c r="B105" s="3"/>
      <c r="C105" s="3"/>
      <c r="D105" s="3"/>
    </row>
    <row r="106" customFormat="false" ht="15" hidden="false" customHeight="false" outlineLevel="0" collapsed="false">
      <c r="A106" s="3"/>
      <c r="B106" s="3"/>
      <c r="C106" s="3"/>
      <c r="D106" s="3"/>
    </row>
    <row r="107" customFormat="false" ht="15" hidden="false" customHeight="false" outlineLevel="0" collapsed="false">
      <c r="A107" s="3"/>
      <c r="B107" s="3"/>
      <c r="C107" s="3"/>
      <c r="D107" s="3"/>
    </row>
    <row r="108" customFormat="false" ht="15" hidden="false" customHeight="false" outlineLevel="0" collapsed="false">
      <c r="A108" s="3"/>
      <c r="B108" s="3"/>
      <c r="C108" s="3"/>
      <c r="D108" s="3"/>
    </row>
    <row r="109" customFormat="false" ht="15" hidden="false" customHeight="false" outlineLevel="0" collapsed="false">
      <c r="A109" s="3"/>
      <c r="B109" s="3"/>
      <c r="C109" s="3"/>
      <c r="D109" s="3"/>
    </row>
    <row r="110" customFormat="false" ht="15" hidden="false" customHeight="false" outlineLevel="0" collapsed="false">
      <c r="A110" s="3"/>
      <c r="B110" s="3"/>
      <c r="C110" s="3"/>
      <c r="D110" s="3"/>
    </row>
    <row r="111" customFormat="false" ht="15" hidden="false" customHeight="false" outlineLevel="0" collapsed="false">
      <c r="A111" s="3"/>
      <c r="B111" s="3"/>
      <c r="C111" s="3"/>
      <c r="D111" s="3"/>
    </row>
    <row r="112" customFormat="false" ht="15" hidden="false" customHeight="false" outlineLevel="0" collapsed="false">
      <c r="A112" s="3"/>
      <c r="B112" s="3"/>
      <c r="C112" s="3"/>
      <c r="D112" s="3"/>
    </row>
    <row r="113" customFormat="false" ht="15" hidden="false" customHeight="false" outlineLevel="0" collapsed="false">
      <c r="A113" s="3"/>
      <c r="B113" s="3"/>
      <c r="C113" s="3"/>
      <c r="D113" s="3"/>
    </row>
    <row r="114" customFormat="false" ht="15" hidden="false" customHeight="false" outlineLevel="0" collapsed="false">
      <c r="A114" s="3"/>
      <c r="B114" s="3"/>
      <c r="C114" s="3"/>
      <c r="D114" s="3"/>
    </row>
    <row r="115" customFormat="false" ht="15" hidden="false" customHeight="false" outlineLevel="0" collapsed="false">
      <c r="A115" s="3"/>
      <c r="B115" s="3"/>
      <c r="C115" s="3"/>
      <c r="D115" s="3"/>
    </row>
    <row r="116" customFormat="false" ht="15" hidden="false" customHeight="false" outlineLevel="0" collapsed="false">
      <c r="A116" s="3"/>
      <c r="B116" s="3"/>
      <c r="C116" s="3"/>
      <c r="D116" s="3"/>
    </row>
    <row r="117" customFormat="false" ht="15" hidden="false" customHeight="false" outlineLevel="0" collapsed="false">
      <c r="A117" s="3"/>
      <c r="B117" s="3"/>
      <c r="C117" s="3"/>
      <c r="D117" s="3"/>
    </row>
    <row r="118" customFormat="false" ht="15" hidden="false" customHeight="false" outlineLevel="0" collapsed="false">
      <c r="A118" s="3"/>
      <c r="B118" s="3"/>
      <c r="C118" s="3"/>
      <c r="D118" s="3"/>
    </row>
    <row r="119" customFormat="false" ht="15" hidden="false" customHeight="false" outlineLevel="0" collapsed="false">
      <c r="A119" s="3"/>
      <c r="B119" s="3"/>
      <c r="C119" s="3"/>
      <c r="D119" s="3"/>
    </row>
    <row r="120" customFormat="false" ht="15" hidden="false" customHeight="false" outlineLevel="0" collapsed="false">
      <c r="A120" s="3"/>
      <c r="B120" s="3"/>
      <c r="C120" s="3"/>
      <c r="D120" s="3"/>
    </row>
    <row r="121" customFormat="false" ht="15" hidden="false" customHeight="false" outlineLevel="0" collapsed="false">
      <c r="A121" s="3"/>
      <c r="B121" s="3"/>
      <c r="C121" s="3"/>
      <c r="D121" s="3"/>
    </row>
    <row r="122" customFormat="false" ht="15" hidden="false" customHeight="false" outlineLevel="0" collapsed="false">
      <c r="A122" s="3"/>
      <c r="B122" s="3"/>
      <c r="C122" s="3"/>
      <c r="D122" s="3"/>
    </row>
    <row r="123" customFormat="false" ht="15" hidden="false" customHeight="false" outlineLevel="0" collapsed="false">
      <c r="A123" s="3"/>
      <c r="B123" s="3"/>
      <c r="C123" s="3"/>
      <c r="D123" s="3"/>
    </row>
    <row r="124" customFormat="false" ht="15" hidden="false" customHeight="false" outlineLevel="0" collapsed="false">
      <c r="A124" s="3"/>
      <c r="B124" s="3"/>
      <c r="C124" s="3"/>
      <c r="D124" s="3"/>
    </row>
    <row r="125" customFormat="false" ht="15" hidden="false" customHeight="false" outlineLevel="0" collapsed="false">
      <c r="A125" s="3"/>
      <c r="B125" s="3"/>
      <c r="C125" s="3"/>
      <c r="D125" s="3"/>
    </row>
    <row r="126" customFormat="false" ht="15" hidden="false" customHeight="false" outlineLevel="0" collapsed="false">
      <c r="A126" s="3"/>
      <c r="B126" s="3"/>
      <c r="C126" s="3"/>
      <c r="D126" s="3"/>
    </row>
    <row r="127" customFormat="false" ht="15" hidden="false" customHeight="false" outlineLevel="0" collapsed="false">
      <c r="A127" s="3"/>
      <c r="B127" s="3"/>
      <c r="C127" s="3"/>
      <c r="D127" s="3"/>
    </row>
    <row r="128" customFormat="false" ht="15" hidden="false" customHeight="false" outlineLevel="0" collapsed="false">
      <c r="A128" s="3"/>
      <c r="B128" s="3"/>
      <c r="C128" s="3"/>
      <c r="D128" s="3"/>
    </row>
    <row r="129" customFormat="false" ht="15" hidden="false" customHeight="false" outlineLevel="0" collapsed="false">
      <c r="A129" s="3"/>
      <c r="B129" s="3"/>
      <c r="C129" s="3"/>
      <c r="D129" s="3"/>
    </row>
    <row r="130" customFormat="false" ht="15" hidden="false" customHeight="false" outlineLevel="0" collapsed="false">
      <c r="A130" s="3"/>
      <c r="B130" s="3"/>
      <c r="C130" s="3"/>
      <c r="D130" s="3"/>
    </row>
    <row r="131" customFormat="false" ht="15" hidden="false" customHeight="false" outlineLevel="0" collapsed="false">
      <c r="A131" s="3"/>
      <c r="B131" s="3"/>
      <c r="C131" s="3"/>
      <c r="D131" s="3"/>
    </row>
    <row r="132" customFormat="false" ht="15" hidden="false" customHeight="false" outlineLevel="0" collapsed="false">
      <c r="A132" s="3"/>
      <c r="B132" s="3"/>
      <c r="C132" s="3"/>
      <c r="D132" s="3"/>
    </row>
    <row r="133" customFormat="false" ht="15" hidden="false" customHeight="false" outlineLevel="0" collapsed="false">
      <c r="A133" s="3"/>
      <c r="B133" s="3"/>
      <c r="C133" s="3"/>
      <c r="D133" s="3"/>
    </row>
    <row r="134" customFormat="false" ht="15" hidden="false" customHeight="false" outlineLevel="0" collapsed="false">
      <c r="A134" s="3"/>
      <c r="B134" s="3"/>
      <c r="C134" s="3"/>
      <c r="D134" s="3"/>
    </row>
    <row r="135" customFormat="false" ht="15" hidden="false" customHeight="false" outlineLevel="0" collapsed="false">
      <c r="A135" s="3"/>
      <c r="B135" s="3"/>
      <c r="C135" s="3"/>
      <c r="D135" s="3"/>
    </row>
    <row r="136" customFormat="false" ht="15" hidden="false" customHeight="false" outlineLevel="0" collapsed="false">
      <c r="A136" s="3"/>
      <c r="B136" s="3"/>
      <c r="C136" s="3"/>
      <c r="D136" s="3"/>
    </row>
    <row r="137" customFormat="false" ht="15" hidden="false" customHeight="false" outlineLevel="0" collapsed="false">
      <c r="A137" s="3"/>
      <c r="B137" s="3"/>
      <c r="C137" s="3"/>
      <c r="D137" s="3"/>
    </row>
    <row r="138" customFormat="false" ht="15" hidden="false" customHeight="false" outlineLevel="0" collapsed="false">
      <c r="A138" s="3"/>
      <c r="B138" s="3"/>
      <c r="C138" s="3"/>
      <c r="D138" s="3"/>
    </row>
    <row r="139" customFormat="false" ht="15" hidden="false" customHeight="false" outlineLevel="0" collapsed="false">
      <c r="A139" s="3"/>
      <c r="B139" s="3"/>
      <c r="C139" s="3"/>
      <c r="D139" s="3"/>
    </row>
    <row r="140" customFormat="false" ht="15" hidden="false" customHeight="false" outlineLevel="0" collapsed="false">
      <c r="A140" s="3"/>
      <c r="B140" s="3"/>
      <c r="C140" s="3"/>
      <c r="D140" s="3"/>
    </row>
    <row r="141" customFormat="false" ht="15" hidden="false" customHeight="false" outlineLevel="0" collapsed="false">
      <c r="A141" s="3"/>
      <c r="B141" s="3"/>
      <c r="C141" s="3"/>
      <c r="D141" s="3"/>
    </row>
    <row r="142" customFormat="false" ht="15" hidden="false" customHeight="false" outlineLevel="0" collapsed="false">
      <c r="A142" s="3"/>
      <c r="B142" s="3"/>
      <c r="C142" s="3"/>
      <c r="D142" s="3"/>
    </row>
    <row r="143" customFormat="false" ht="15" hidden="false" customHeight="false" outlineLevel="0" collapsed="false">
      <c r="A143" s="3"/>
      <c r="B143" s="3"/>
      <c r="C143" s="3"/>
      <c r="D143" s="3"/>
    </row>
    <row r="144" customFormat="false" ht="15" hidden="false" customHeight="false" outlineLevel="0" collapsed="false">
      <c r="A144" s="3"/>
      <c r="B144" s="3"/>
      <c r="C144" s="3"/>
      <c r="D144" s="3"/>
    </row>
    <row r="145" customFormat="false" ht="15" hidden="false" customHeight="false" outlineLevel="0" collapsed="false">
      <c r="A145" s="3"/>
      <c r="B145" s="3"/>
      <c r="C145" s="3"/>
      <c r="D145" s="3"/>
    </row>
    <row r="146" customFormat="false" ht="15" hidden="false" customHeight="false" outlineLevel="0" collapsed="false">
      <c r="A146" s="3"/>
      <c r="B146" s="3"/>
      <c r="C146" s="3"/>
      <c r="D146" s="3"/>
    </row>
    <row r="147" customFormat="false" ht="15" hidden="false" customHeight="false" outlineLevel="0" collapsed="false">
      <c r="A147" s="3"/>
      <c r="B147" s="3"/>
      <c r="C147" s="3"/>
      <c r="D147" s="3"/>
    </row>
    <row r="148" customFormat="false" ht="15" hidden="false" customHeight="false" outlineLevel="0" collapsed="false">
      <c r="A148" s="3"/>
      <c r="B148" s="3"/>
      <c r="C148" s="3"/>
      <c r="D148" s="3"/>
    </row>
    <row r="149" customFormat="false" ht="15" hidden="false" customHeight="false" outlineLevel="0" collapsed="false">
      <c r="A149" s="3"/>
      <c r="B149" s="3"/>
      <c r="C149" s="3"/>
      <c r="D149" s="3"/>
    </row>
    <row r="150" customFormat="false" ht="15" hidden="false" customHeight="false" outlineLevel="0" collapsed="false">
      <c r="A150" s="3"/>
      <c r="B150" s="3"/>
      <c r="C150" s="3"/>
      <c r="D150" s="3"/>
    </row>
    <row r="151" customFormat="false" ht="15" hidden="false" customHeight="false" outlineLevel="0" collapsed="false">
      <c r="A151" s="3"/>
      <c r="B151" s="3"/>
      <c r="C151" s="3"/>
      <c r="D151" s="3"/>
    </row>
    <row r="152" customFormat="false" ht="15" hidden="false" customHeight="false" outlineLevel="0" collapsed="false">
      <c r="A152" s="3"/>
      <c r="B152" s="3"/>
      <c r="C152" s="3"/>
      <c r="D152" s="3"/>
    </row>
    <row r="153" customFormat="false" ht="15" hidden="false" customHeight="false" outlineLevel="0" collapsed="false">
      <c r="A153" s="3"/>
      <c r="B153" s="3"/>
      <c r="C153" s="3"/>
      <c r="D153" s="3"/>
    </row>
    <row r="154" customFormat="false" ht="15" hidden="false" customHeight="false" outlineLevel="0" collapsed="false">
      <c r="A154" s="3"/>
      <c r="B154" s="3"/>
      <c r="C154" s="3"/>
      <c r="D154" s="3"/>
    </row>
    <row r="155" customFormat="false" ht="15" hidden="false" customHeight="false" outlineLevel="0" collapsed="false">
      <c r="A155" s="3"/>
      <c r="B155" s="3"/>
      <c r="C155" s="3"/>
      <c r="D155" s="3"/>
    </row>
    <row r="156" customFormat="false" ht="15" hidden="false" customHeight="false" outlineLevel="0" collapsed="false">
      <c r="A156" s="3"/>
      <c r="B156" s="3"/>
      <c r="C156" s="3"/>
      <c r="D156" s="3"/>
    </row>
    <row r="157" customFormat="false" ht="15" hidden="false" customHeight="false" outlineLevel="0" collapsed="false">
      <c r="A157" s="3"/>
      <c r="B157" s="3"/>
      <c r="C157" s="3"/>
      <c r="D157" s="3"/>
    </row>
    <row r="158" customFormat="false" ht="15" hidden="false" customHeight="false" outlineLevel="0" collapsed="false">
      <c r="A158" s="3"/>
      <c r="B158" s="3"/>
      <c r="C158" s="3"/>
      <c r="D158" s="3"/>
    </row>
    <row r="159" customFormat="false" ht="15" hidden="false" customHeight="false" outlineLevel="0" collapsed="false">
      <c r="A159" s="3"/>
      <c r="B159" s="3"/>
      <c r="C159" s="3"/>
      <c r="D159" s="3"/>
    </row>
    <row r="160" customFormat="false" ht="15" hidden="false" customHeight="false" outlineLevel="0" collapsed="false">
      <c r="A160" s="3"/>
      <c r="B160" s="3"/>
      <c r="C160" s="3"/>
      <c r="D160" s="3"/>
    </row>
    <row r="161" customFormat="false" ht="15" hidden="false" customHeight="false" outlineLevel="0" collapsed="false">
      <c r="A161" s="3"/>
      <c r="B161" s="3"/>
      <c r="C161" s="3"/>
      <c r="D161" s="3"/>
    </row>
    <row r="162" customFormat="false" ht="15" hidden="false" customHeight="false" outlineLevel="0" collapsed="false">
      <c r="A162" s="3"/>
      <c r="B162" s="3"/>
      <c r="C162" s="3"/>
      <c r="D162" s="3"/>
    </row>
    <row r="163" customFormat="false" ht="15" hidden="false" customHeight="false" outlineLevel="0" collapsed="false">
      <c r="A163" s="3"/>
      <c r="B163" s="3"/>
      <c r="C163" s="3"/>
      <c r="D163" s="3"/>
    </row>
    <row r="164" customFormat="false" ht="15" hidden="false" customHeight="false" outlineLevel="0" collapsed="false">
      <c r="A164" s="3"/>
      <c r="B164" s="3"/>
      <c r="C164" s="3"/>
      <c r="D164" s="3"/>
    </row>
    <row r="165" customFormat="false" ht="15" hidden="false" customHeight="false" outlineLevel="0" collapsed="false">
      <c r="A165" s="3"/>
      <c r="B165" s="3"/>
      <c r="C165" s="3"/>
      <c r="D165" s="3"/>
    </row>
    <row r="166" customFormat="false" ht="15" hidden="false" customHeight="false" outlineLevel="0" collapsed="false">
      <c r="A166" s="3"/>
      <c r="B166" s="3"/>
      <c r="C166" s="3"/>
      <c r="D166" s="3"/>
    </row>
    <row r="167" customFormat="false" ht="15" hidden="false" customHeight="false" outlineLevel="0" collapsed="false">
      <c r="A167" s="3"/>
      <c r="B167" s="3"/>
      <c r="C167" s="3"/>
      <c r="D167" s="3"/>
    </row>
    <row r="168" customFormat="false" ht="15" hidden="false" customHeight="false" outlineLevel="0" collapsed="false">
      <c r="A168" s="3"/>
      <c r="B168" s="3"/>
      <c r="C168" s="3"/>
      <c r="D168" s="3"/>
    </row>
    <row r="169" customFormat="false" ht="15" hidden="false" customHeight="false" outlineLevel="0" collapsed="false">
      <c r="A169" s="3"/>
      <c r="B169" s="3"/>
      <c r="C169" s="3"/>
      <c r="D169" s="3"/>
    </row>
    <row r="170" customFormat="false" ht="15" hidden="false" customHeight="false" outlineLevel="0" collapsed="false">
      <c r="A170" s="3"/>
      <c r="B170" s="3"/>
      <c r="C170" s="3"/>
      <c r="D170" s="3"/>
    </row>
    <row r="171" customFormat="false" ht="15" hidden="false" customHeight="false" outlineLevel="0" collapsed="false">
      <c r="A171" s="3"/>
      <c r="B171" s="3"/>
      <c r="C171" s="3"/>
      <c r="D171" s="3"/>
    </row>
    <row r="172" customFormat="false" ht="15" hidden="false" customHeight="false" outlineLevel="0" collapsed="false">
      <c r="A172" s="3"/>
      <c r="B172" s="3"/>
      <c r="C172" s="3"/>
      <c r="D172" s="3"/>
    </row>
    <row r="173" customFormat="false" ht="15" hidden="false" customHeight="false" outlineLevel="0" collapsed="false">
      <c r="A173" s="3"/>
      <c r="B173" s="3"/>
      <c r="C173" s="3"/>
      <c r="D173" s="3"/>
    </row>
    <row r="174" customFormat="false" ht="15" hidden="false" customHeight="false" outlineLevel="0" collapsed="false">
      <c r="A174" s="3"/>
      <c r="B174" s="3"/>
      <c r="C174" s="3"/>
      <c r="D174" s="3"/>
    </row>
    <row r="175" customFormat="false" ht="15" hidden="false" customHeight="false" outlineLevel="0" collapsed="false">
      <c r="A175" s="3"/>
      <c r="B175" s="3"/>
      <c r="C175" s="3"/>
      <c r="D175" s="3"/>
    </row>
    <row r="176" customFormat="false" ht="15" hidden="false" customHeight="false" outlineLevel="0" collapsed="false">
      <c r="A176" s="3"/>
      <c r="B176" s="3"/>
      <c r="C176" s="3"/>
      <c r="D176" s="3"/>
    </row>
    <row r="177" customFormat="false" ht="15" hidden="false" customHeight="false" outlineLevel="0" collapsed="false">
      <c r="A177" s="3"/>
      <c r="B177" s="3"/>
      <c r="C177" s="3"/>
      <c r="D177" s="3"/>
    </row>
    <row r="178" customFormat="false" ht="15" hidden="false" customHeight="false" outlineLevel="0" collapsed="false">
      <c r="A178" s="3"/>
      <c r="B178" s="3"/>
      <c r="C178" s="3"/>
      <c r="D178" s="3"/>
    </row>
    <row r="179" customFormat="false" ht="15" hidden="false" customHeight="false" outlineLevel="0" collapsed="false">
      <c r="A179" s="3"/>
      <c r="B179" s="3"/>
      <c r="C179" s="3"/>
      <c r="D179" s="3"/>
    </row>
    <row r="180" customFormat="false" ht="15" hidden="false" customHeight="false" outlineLevel="0" collapsed="false">
      <c r="A180" s="3"/>
      <c r="B180" s="3"/>
      <c r="C180" s="3"/>
      <c r="D180" s="3"/>
    </row>
    <row r="181" customFormat="false" ht="15" hidden="false" customHeight="false" outlineLevel="0" collapsed="false">
      <c r="A181" s="3"/>
      <c r="B181" s="3"/>
      <c r="C181" s="3"/>
      <c r="D181" s="3"/>
    </row>
    <row r="182" customFormat="false" ht="15" hidden="false" customHeight="false" outlineLevel="0" collapsed="false">
      <c r="A182" s="3"/>
      <c r="B182" s="3"/>
      <c r="C182" s="3"/>
      <c r="D182" s="3"/>
    </row>
    <row r="183" customFormat="false" ht="15" hidden="false" customHeight="false" outlineLevel="0" collapsed="false">
      <c r="A183" s="3"/>
      <c r="B183" s="3"/>
      <c r="C183" s="3"/>
      <c r="D183" s="3"/>
    </row>
    <row r="184" customFormat="false" ht="15" hidden="false" customHeight="false" outlineLevel="0" collapsed="false">
      <c r="A184" s="3"/>
      <c r="B184" s="3"/>
      <c r="C184" s="3"/>
      <c r="D184" s="3"/>
    </row>
    <row r="185" customFormat="false" ht="15" hidden="false" customHeight="false" outlineLevel="0" collapsed="false">
      <c r="A185" s="3"/>
      <c r="B185" s="3"/>
      <c r="C185" s="3"/>
      <c r="D185" s="3"/>
    </row>
    <row r="186" customFormat="false" ht="15" hidden="false" customHeight="false" outlineLevel="0" collapsed="false">
      <c r="A186" s="3"/>
      <c r="B186" s="3"/>
      <c r="C186" s="3"/>
      <c r="D186" s="3"/>
    </row>
    <row r="187" customFormat="false" ht="15" hidden="false" customHeight="false" outlineLevel="0" collapsed="false">
      <c r="A187" s="3"/>
      <c r="B187" s="3"/>
      <c r="C187" s="3"/>
      <c r="D187" s="3"/>
    </row>
    <row r="188" customFormat="false" ht="15" hidden="false" customHeight="false" outlineLevel="0" collapsed="false">
      <c r="A188" s="3"/>
      <c r="B188" s="3"/>
      <c r="C188" s="3"/>
      <c r="D188" s="3"/>
    </row>
    <row r="189" customFormat="false" ht="15" hidden="false" customHeight="false" outlineLevel="0" collapsed="false">
      <c r="A189" s="3"/>
      <c r="B189" s="3"/>
      <c r="C189" s="3"/>
      <c r="D189" s="3"/>
    </row>
    <row r="190" customFormat="false" ht="15" hidden="false" customHeight="false" outlineLevel="0" collapsed="false">
      <c r="A190" s="3"/>
      <c r="B190" s="3"/>
      <c r="C190" s="3"/>
      <c r="D190" s="3"/>
    </row>
    <row r="191" customFormat="false" ht="15" hidden="false" customHeight="false" outlineLevel="0" collapsed="false">
      <c r="A191" s="3"/>
      <c r="B191" s="3"/>
      <c r="C191" s="3"/>
      <c r="D191" s="3"/>
    </row>
    <row r="192" customFormat="false" ht="15" hidden="false" customHeight="false" outlineLevel="0" collapsed="false">
      <c r="A192" s="3"/>
      <c r="B192" s="3"/>
      <c r="C192" s="3"/>
      <c r="D192" s="3"/>
    </row>
    <row r="193" customFormat="false" ht="15" hidden="false" customHeight="false" outlineLevel="0" collapsed="false">
      <c r="A193" s="3"/>
      <c r="B193" s="3"/>
      <c r="C193" s="3"/>
      <c r="D193" s="3"/>
    </row>
    <row r="194" customFormat="false" ht="15" hidden="false" customHeight="false" outlineLevel="0" collapsed="false">
      <c r="A194" s="3"/>
      <c r="B194" s="3"/>
      <c r="C194" s="3"/>
      <c r="D194" s="3"/>
    </row>
    <row r="195" customFormat="false" ht="15" hidden="false" customHeight="false" outlineLevel="0" collapsed="false">
      <c r="A195" s="3"/>
      <c r="B195" s="3"/>
      <c r="C195" s="3"/>
      <c r="D195" s="3"/>
    </row>
    <row r="196" customFormat="false" ht="15" hidden="false" customHeight="false" outlineLevel="0" collapsed="false">
      <c r="A196" s="3"/>
      <c r="B196" s="3"/>
      <c r="C196" s="3"/>
      <c r="D196" s="3"/>
    </row>
    <row r="197" customFormat="false" ht="15" hidden="false" customHeight="false" outlineLevel="0" collapsed="false">
      <c r="A197" s="3"/>
      <c r="B197" s="3"/>
      <c r="C197" s="3"/>
      <c r="D197" s="3"/>
    </row>
    <row r="198" customFormat="false" ht="15" hidden="false" customHeight="false" outlineLevel="0" collapsed="false">
      <c r="A198" s="3"/>
      <c r="B198" s="3"/>
      <c r="C198" s="3"/>
      <c r="D198" s="3"/>
    </row>
    <row r="199" customFormat="false" ht="15" hidden="false" customHeight="false" outlineLevel="0" collapsed="false">
      <c r="A199" s="3"/>
      <c r="B199" s="3"/>
      <c r="C199" s="3"/>
      <c r="D199" s="3"/>
    </row>
    <row r="200" customFormat="false" ht="15" hidden="false" customHeight="false" outlineLevel="0" collapsed="false">
      <c r="A200" s="3"/>
      <c r="B200" s="3"/>
      <c r="C200" s="3"/>
      <c r="D200" s="3"/>
    </row>
    <row r="201" customFormat="false" ht="15" hidden="false" customHeight="false" outlineLevel="0" collapsed="false">
      <c r="A201" s="3"/>
      <c r="B201" s="3"/>
      <c r="C201" s="3"/>
      <c r="D201" s="3"/>
    </row>
    <row r="202" customFormat="false" ht="15" hidden="false" customHeight="false" outlineLevel="0" collapsed="false">
      <c r="A202" s="3"/>
      <c r="B202" s="3"/>
      <c r="C202" s="3"/>
      <c r="D202" s="3"/>
    </row>
    <row r="203" customFormat="false" ht="15" hidden="false" customHeight="false" outlineLevel="0" collapsed="false">
      <c r="A203" s="3"/>
      <c r="B203" s="3"/>
      <c r="C203" s="3"/>
      <c r="D203" s="3"/>
    </row>
    <row r="204" customFormat="false" ht="15" hidden="false" customHeight="false" outlineLevel="0" collapsed="false">
      <c r="A204" s="3"/>
      <c r="B204" s="3"/>
      <c r="C204" s="3"/>
      <c r="D204" s="3"/>
    </row>
    <row r="205" customFormat="false" ht="15" hidden="false" customHeight="false" outlineLevel="0" collapsed="false">
      <c r="A205" s="3"/>
      <c r="B205" s="3"/>
      <c r="C205" s="3"/>
      <c r="D205" s="3"/>
    </row>
    <row r="206" customFormat="false" ht="15" hidden="false" customHeight="false" outlineLevel="0" collapsed="false">
      <c r="A206" s="3"/>
      <c r="B206" s="3"/>
      <c r="C206" s="3"/>
      <c r="D206" s="3"/>
    </row>
    <row r="207" customFormat="false" ht="15" hidden="false" customHeight="false" outlineLevel="0" collapsed="false">
      <c r="A207" s="3"/>
      <c r="B207" s="3"/>
      <c r="C207" s="3"/>
      <c r="D207" s="3"/>
    </row>
    <row r="208" customFormat="false" ht="15" hidden="false" customHeight="false" outlineLevel="0" collapsed="false">
      <c r="A208" s="3"/>
      <c r="B208" s="3"/>
      <c r="C208" s="3"/>
      <c r="D208" s="3"/>
    </row>
    <row r="209" customFormat="false" ht="15" hidden="false" customHeight="false" outlineLevel="0" collapsed="false">
      <c r="A209" s="3"/>
      <c r="B209" s="3"/>
      <c r="C209" s="3"/>
      <c r="D209" s="3"/>
    </row>
    <row r="210" customFormat="false" ht="15" hidden="false" customHeight="false" outlineLevel="0" collapsed="false">
      <c r="A210" s="3"/>
      <c r="B210" s="3"/>
      <c r="C210" s="3"/>
      <c r="D210" s="3"/>
    </row>
    <row r="211" customFormat="false" ht="15" hidden="false" customHeight="false" outlineLevel="0" collapsed="false">
      <c r="A211" s="3"/>
      <c r="B211" s="3"/>
      <c r="C211" s="3"/>
      <c r="D211" s="3"/>
    </row>
    <row r="212" customFormat="false" ht="15" hidden="false" customHeight="false" outlineLevel="0" collapsed="false">
      <c r="A212" s="3"/>
      <c r="B212" s="3"/>
      <c r="C212" s="3"/>
      <c r="D212" s="3"/>
    </row>
    <row r="213" customFormat="false" ht="15" hidden="false" customHeight="false" outlineLevel="0" collapsed="false">
      <c r="A213" s="3"/>
      <c r="B213" s="3"/>
      <c r="C213" s="3"/>
      <c r="D213" s="3"/>
    </row>
    <row r="214" customFormat="false" ht="15" hidden="false" customHeight="false" outlineLevel="0" collapsed="false">
      <c r="A214" s="3"/>
      <c r="B214" s="3"/>
      <c r="C214" s="3"/>
      <c r="D214" s="3"/>
    </row>
    <row r="215" customFormat="false" ht="15" hidden="false" customHeight="false" outlineLevel="0" collapsed="false">
      <c r="A215" s="3"/>
      <c r="B215" s="3"/>
      <c r="C215" s="3"/>
      <c r="D215" s="3"/>
    </row>
    <row r="216" customFormat="false" ht="15" hidden="false" customHeight="false" outlineLevel="0" collapsed="false">
      <c r="A216" s="3"/>
      <c r="B216" s="3"/>
      <c r="C216" s="3"/>
      <c r="D216" s="3"/>
    </row>
    <row r="217" customFormat="false" ht="15" hidden="false" customHeight="false" outlineLevel="0" collapsed="false">
      <c r="A217" s="3"/>
      <c r="B217" s="3"/>
      <c r="C217" s="3"/>
      <c r="D217" s="3"/>
    </row>
    <row r="218" customFormat="false" ht="15" hidden="false" customHeight="false" outlineLevel="0" collapsed="false">
      <c r="A218" s="3"/>
      <c r="B218" s="3"/>
      <c r="C218" s="3"/>
      <c r="D218" s="3"/>
    </row>
    <row r="219" customFormat="false" ht="15" hidden="false" customHeight="false" outlineLevel="0" collapsed="false">
      <c r="A219" s="3"/>
      <c r="B219" s="3"/>
      <c r="C219" s="3"/>
      <c r="D219" s="3"/>
    </row>
    <row r="220" customFormat="false" ht="15" hidden="false" customHeight="false" outlineLevel="0" collapsed="false">
      <c r="A220" s="3"/>
      <c r="B220" s="3"/>
      <c r="C220" s="3"/>
      <c r="D220" s="3"/>
    </row>
    <row r="221" customFormat="false" ht="15" hidden="false" customHeight="false" outlineLevel="0" collapsed="false">
      <c r="A221" s="3"/>
      <c r="B221" s="3"/>
      <c r="C221" s="3"/>
      <c r="D221" s="3"/>
    </row>
    <row r="222" customFormat="false" ht="15" hidden="false" customHeight="false" outlineLevel="0" collapsed="false">
      <c r="A222" s="3"/>
      <c r="B222" s="3"/>
      <c r="C222" s="3"/>
      <c r="D222" s="3"/>
    </row>
    <row r="223" customFormat="false" ht="15" hidden="false" customHeight="false" outlineLevel="0" collapsed="false">
      <c r="A223" s="3"/>
      <c r="B223" s="3"/>
      <c r="C223" s="3"/>
      <c r="D223" s="3"/>
    </row>
    <row r="224" customFormat="false" ht="15" hidden="false" customHeight="false" outlineLevel="0" collapsed="false">
      <c r="A224" s="3"/>
      <c r="B224" s="3"/>
      <c r="C224" s="3"/>
      <c r="D224" s="3"/>
    </row>
    <row r="225" customFormat="false" ht="15" hidden="false" customHeight="false" outlineLevel="0" collapsed="false">
      <c r="A225" s="3"/>
      <c r="B225" s="3"/>
      <c r="C225" s="3"/>
      <c r="D225" s="3"/>
    </row>
    <row r="226" customFormat="false" ht="15" hidden="false" customHeight="false" outlineLevel="0" collapsed="false">
      <c r="A226" s="3"/>
      <c r="B226" s="3"/>
      <c r="C226" s="3"/>
      <c r="D226" s="3"/>
    </row>
    <row r="227" customFormat="false" ht="15" hidden="false" customHeight="false" outlineLevel="0" collapsed="false">
      <c r="A227" s="3"/>
      <c r="B227" s="3"/>
      <c r="C227" s="3"/>
      <c r="D227" s="3"/>
    </row>
    <row r="228" customFormat="false" ht="15" hidden="false" customHeight="false" outlineLevel="0" collapsed="false">
      <c r="A228" s="3"/>
      <c r="B228" s="3"/>
      <c r="C228" s="3"/>
      <c r="D228" s="3"/>
    </row>
    <row r="229" customFormat="false" ht="15" hidden="false" customHeight="false" outlineLevel="0" collapsed="false">
      <c r="A229" s="3"/>
      <c r="B229" s="3"/>
      <c r="C229" s="3"/>
      <c r="D229" s="3"/>
    </row>
    <row r="230" customFormat="false" ht="15" hidden="false" customHeight="false" outlineLevel="0" collapsed="false">
      <c r="A230" s="3"/>
      <c r="B230" s="3"/>
      <c r="C230" s="3"/>
      <c r="D230" s="3"/>
    </row>
    <row r="231" customFormat="false" ht="15" hidden="false" customHeight="false" outlineLevel="0" collapsed="false">
      <c r="A231" s="3"/>
      <c r="B231" s="3"/>
      <c r="C231" s="3"/>
      <c r="D231" s="3"/>
    </row>
    <row r="232" customFormat="false" ht="15" hidden="false" customHeight="false" outlineLevel="0" collapsed="false">
      <c r="A232" s="3"/>
      <c r="B232" s="3"/>
      <c r="C232" s="3"/>
      <c r="D232" s="3"/>
    </row>
    <row r="233" customFormat="false" ht="15" hidden="false" customHeight="false" outlineLevel="0" collapsed="false">
      <c r="A233" s="3"/>
      <c r="B233" s="3"/>
      <c r="C233" s="3"/>
      <c r="D233" s="3"/>
    </row>
    <row r="234" customFormat="false" ht="15" hidden="false" customHeight="false" outlineLevel="0" collapsed="false">
      <c r="A234" s="3"/>
      <c r="B234" s="3"/>
      <c r="C234" s="3"/>
      <c r="D234" s="3"/>
    </row>
    <row r="235" customFormat="false" ht="15" hidden="false" customHeight="false" outlineLevel="0" collapsed="false">
      <c r="A235" s="3"/>
      <c r="B235" s="3"/>
      <c r="C235" s="3"/>
      <c r="D235" s="3"/>
    </row>
    <row r="236" customFormat="false" ht="15" hidden="false" customHeight="false" outlineLevel="0" collapsed="false">
      <c r="A236" s="3"/>
      <c r="B236" s="3"/>
      <c r="C236" s="3"/>
      <c r="D236" s="3"/>
    </row>
    <row r="237" customFormat="false" ht="15" hidden="false" customHeight="false" outlineLevel="0" collapsed="false">
      <c r="A237" s="3"/>
      <c r="B237" s="3"/>
      <c r="C237" s="3"/>
      <c r="D237" s="3"/>
    </row>
    <row r="238" customFormat="false" ht="15" hidden="false" customHeight="false" outlineLevel="0" collapsed="false">
      <c r="A238" s="3"/>
      <c r="B238" s="3"/>
      <c r="C238" s="3"/>
      <c r="D238" s="3"/>
    </row>
    <row r="239" customFormat="false" ht="15" hidden="false" customHeight="false" outlineLevel="0" collapsed="false">
      <c r="A239" s="3"/>
      <c r="B239" s="3"/>
      <c r="C239" s="3"/>
      <c r="D239" s="3"/>
    </row>
    <row r="240" customFormat="false" ht="15" hidden="false" customHeight="false" outlineLevel="0" collapsed="false">
      <c r="A240" s="3"/>
      <c r="B240" s="3"/>
      <c r="C240" s="3"/>
      <c r="D240" s="3"/>
    </row>
    <row r="241" customFormat="false" ht="15" hidden="false" customHeight="false" outlineLevel="0" collapsed="false">
      <c r="A241" s="3"/>
      <c r="B241" s="3"/>
      <c r="C241" s="3"/>
      <c r="D241" s="3"/>
    </row>
    <row r="242" customFormat="false" ht="15" hidden="false" customHeight="false" outlineLevel="0" collapsed="false">
      <c r="A242" s="3"/>
      <c r="B242" s="3"/>
      <c r="C242" s="3"/>
      <c r="D242" s="3"/>
    </row>
    <row r="243" customFormat="false" ht="15" hidden="false" customHeight="false" outlineLevel="0" collapsed="false">
      <c r="A243" s="3"/>
      <c r="B243" s="3"/>
      <c r="C243" s="3"/>
      <c r="D243" s="3"/>
    </row>
    <row r="244" customFormat="false" ht="15" hidden="false" customHeight="false" outlineLevel="0" collapsed="false">
      <c r="A244" s="3"/>
      <c r="B244" s="3"/>
      <c r="C244" s="3"/>
      <c r="D244" s="3"/>
    </row>
    <row r="245" customFormat="false" ht="15" hidden="false" customHeight="false" outlineLevel="0" collapsed="false">
      <c r="A245" s="3"/>
      <c r="B245" s="3"/>
      <c r="C245" s="3"/>
      <c r="D245" s="3"/>
    </row>
    <row r="246" customFormat="false" ht="15" hidden="false" customHeight="false" outlineLevel="0" collapsed="false">
      <c r="A246" s="3"/>
      <c r="B246" s="3"/>
      <c r="C246" s="3"/>
      <c r="D246" s="3"/>
    </row>
    <row r="247" customFormat="false" ht="15" hidden="false" customHeight="false" outlineLevel="0" collapsed="false">
      <c r="A247" s="3"/>
      <c r="B247" s="3"/>
      <c r="C247" s="3"/>
      <c r="D247" s="3"/>
    </row>
    <row r="248" customFormat="false" ht="15" hidden="false" customHeight="false" outlineLevel="0" collapsed="false">
      <c r="A248" s="3"/>
      <c r="B248" s="3"/>
      <c r="C248" s="3"/>
      <c r="D248" s="3"/>
    </row>
    <row r="249" customFormat="false" ht="15" hidden="false" customHeight="false" outlineLevel="0" collapsed="false">
      <c r="A249" s="3"/>
      <c r="B249" s="3"/>
      <c r="C249" s="3"/>
      <c r="D249" s="3"/>
    </row>
    <row r="250" customFormat="false" ht="15" hidden="false" customHeight="false" outlineLevel="0" collapsed="false">
      <c r="A250" s="3"/>
      <c r="B250" s="3"/>
      <c r="C250" s="3"/>
      <c r="D250" s="3"/>
    </row>
    <row r="251" customFormat="false" ht="15" hidden="false" customHeight="false" outlineLevel="0" collapsed="false">
      <c r="A251" s="3"/>
      <c r="B251" s="3"/>
      <c r="C251" s="3"/>
      <c r="D251" s="3"/>
    </row>
    <row r="252" customFormat="false" ht="15" hidden="false" customHeight="false" outlineLevel="0" collapsed="false">
      <c r="A252" s="3"/>
      <c r="B252" s="3"/>
      <c r="C252" s="3"/>
      <c r="D252" s="3"/>
    </row>
    <row r="253" customFormat="false" ht="15" hidden="false" customHeight="false" outlineLevel="0" collapsed="false">
      <c r="A253" s="3"/>
      <c r="B253" s="3"/>
      <c r="C253" s="3"/>
      <c r="D253" s="3"/>
    </row>
    <row r="254" customFormat="false" ht="15" hidden="false" customHeight="false" outlineLevel="0" collapsed="false">
      <c r="A254" s="3"/>
      <c r="B254" s="3"/>
      <c r="C254" s="3"/>
      <c r="D254" s="3"/>
    </row>
    <row r="255" customFormat="false" ht="15" hidden="false" customHeight="false" outlineLevel="0" collapsed="false">
      <c r="A255" s="3"/>
      <c r="B255" s="3"/>
      <c r="C255" s="3"/>
      <c r="D255" s="3"/>
    </row>
    <row r="256" customFormat="false" ht="15" hidden="false" customHeight="false" outlineLevel="0" collapsed="false">
      <c r="A256" s="3"/>
      <c r="B256" s="3"/>
      <c r="C256" s="3"/>
      <c r="D256" s="3"/>
    </row>
    <row r="257" customFormat="false" ht="15" hidden="false" customHeight="false" outlineLevel="0" collapsed="false">
      <c r="A257" s="3"/>
      <c r="B257" s="3"/>
      <c r="C257" s="3"/>
      <c r="D257" s="3"/>
    </row>
    <row r="258" customFormat="false" ht="15" hidden="false" customHeight="false" outlineLevel="0" collapsed="false">
      <c r="A258" s="3"/>
      <c r="B258" s="3"/>
      <c r="C258" s="3"/>
      <c r="D258" s="3"/>
    </row>
    <row r="259" customFormat="false" ht="15" hidden="false" customHeight="false" outlineLevel="0" collapsed="false">
      <c r="A259" s="3"/>
      <c r="B259" s="3"/>
      <c r="C259" s="3"/>
      <c r="D259" s="3"/>
    </row>
    <row r="260" customFormat="false" ht="15" hidden="false" customHeight="false" outlineLevel="0" collapsed="false">
      <c r="A260" s="3"/>
      <c r="B260" s="3"/>
      <c r="C260" s="3"/>
      <c r="D260" s="3"/>
    </row>
    <row r="261" customFormat="false" ht="15" hidden="false" customHeight="false" outlineLevel="0" collapsed="false">
      <c r="A261" s="3"/>
      <c r="B261" s="3"/>
      <c r="C261" s="3"/>
      <c r="D261" s="3"/>
    </row>
    <row r="262" customFormat="false" ht="15" hidden="false" customHeight="false" outlineLevel="0" collapsed="false">
      <c r="A262" s="3"/>
      <c r="B262" s="3"/>
      <c r="C262" s="3"/>
      <c r="D262" s="3"/>
    </row>
    <row r="263" customFormat="false" ht="15" hidden="false" customHeight="false" outlineLevel="0" collapsed="false">
      <c r="A263" s="3"/>
      <c r="B263" s="3"/>
      <c r="C263" s="3"/>
      <c r="D263" s="3"/>
    </row>
    <row r="264" customFormat="false" ht="15" hidden="false" customHeight="false" outlineLevel="0" collapsed="false">
      <c r="A264" s="3"/>
      <c r="B264" s="3"/>
      <c r="C264" s="3"/>
      <c r="D264" s="3"/>
    </row>
    <row r="265" customFormat="false" ht="15" hidden="false" customHeight="false" outlineLevel="0" collapsed="false">
      <c r="A265" s="3"/>
      <c r="B265" s="3"/>
      <c r="C265" s="3"/>
      <c r="D265" s="3"/>
    </row>
    <row r="266" customFormat="false" ht="15" hidden="false" customHeight="false" outlineLevel="0" collapsed="false">
      <c r="A266" s="3"/>
      <c r="B266" s="3"/>
      <c r="C266" s="3"/>
      <c r="D266" s="3"/>
    </row>
    <row r="267" customFormat="false" ht="15" hidden="false" customHeight="false" outlineLevel="0" collapsed="false">
      <c r="A267" s="3"/>
      <c r="B267" s="3"/>
      <c r="C267" s="3"/>
      <c r="D267" s="3"/>
    </row>
    <row r="268" customFormat="false" ht="15" hidden="false" customHeight="false" outlineLevel="0" collapsed="false">
      <c r="A268" s="3"/>
      <c r="B268" s="3"/>
      <c r="C268" s="3"/>
      <c r="D268" s="3"/>
    </row>
    <row r="269" customFormat="false" ht="15" hidden="false" customHeight="false" outlineLevel="0" collapsed="false">
      <c r="A269" s="3"/>
      <c r="B269" s="3"/>
      <c r="C269" s="3"/>
      <c r="D269" s="3"/>
    </row>
    <row r="270" customFormat="false" ht="15" hidden="false" customHeight="false" outlineLevel="0" collapsed="false">
      <c r="A270" s="3"/>
      <c r="B270" s="3"/>
      <c r="C270" s="3"/>
      <c r="D270" s="3"/>
    </row>
    <row r="271" customFormat="false" ht="15" hidden="false" customHeight="false" outlineLevel="0" collapsed="false">
      <c r="A271" s="3"/>
      <c r="B271" s="3"/>
      <c r="C271" s="3"/>
      <c r="D271" s="3"/>
    </row>
    <row r="272" customFormat="false" ht="15" hidden="false" customHeight="false" outlineLevel="0" collapsed="false">
      <c r="A272" s="3"/>
      <c r="B272" s="3"/>
      <c r="C272" s="3"/>
      <c r="D272" s="3"/>
    </row>
    <row r="273" customFormat="false" ht="15" hidden="false" customHeight="false" outlineLevel="0" collapsed="false">
      <c r="A273" s="3"/>
      <c r="B273" s="3"/>
      <c r="C273" s="3"/>
      <c r="D273" s="3"/>
    </row>
    <row r="274" customFormat="false" ht="15" hidden="false" customHeight="false" outlineLevel="0" collapsed="false">
      <c r="A274" s="3"/>
      <c r="B274" s="3"/>
      <c r="C274" s="3"/>
      <c r="D274" s="3"/>
    </row>
    <row r="275" customFormat="false" ht="15" hidden="false" customHeight="false" outlineLevel="0" collapsed="false">
      <c r="A275" s="3"/>
      <c r="B275" s="3"/>
      <c r="C275" s="3"/>
      <c r="D275" s="3"/>
    </row>
    <row r="276" customFormat="false" ht="15" hidden="false" customHeight="false" outlineLevel="0" collapsed="false">
      <c r="A276" s="3"/>
      <c r="B276" s="3"/>
      <c r="C276" s="3"/>
      <c r="D276" s="3"/>
    </row>
    <row r="277" customFormat="false" ht="15" hidden="false" customHeight="false" outlineLevel="0" collapsed="false">
      <c r="A277" s="3"/>
      <c r="B277" s="3"/>
      <c r="C277" s="3"/>
      <c r="D277" s="3"/>
    </row>
    <row r="278" customFormat="false" ht="15" hidden="false" customHeight="false" outlineLevel="0" collapsed="false">
      <c r="A278" s="3"/>
      <c r="B278" s="3"/>
      <c r="C278" s="3"/>
      <c r="D278" s="3"/>
    </row>
    <row r="279" customFormat="false" ht="15" hidden="false" customHeight="false" outlineLevel="0" collapsed="false">
      <c r="A279" s="3"/>
      <c r="B279" s="3"/>
      <c r="C279" s="3"/>
      <c r="D279" s="3"/>
    </row>
    <row r="280" customFormat="false" ht="15" hidden="false" customHeight="false" outlineLevel="0" collapsed="false">
      <c r="A280" s="3"/>
      <c r="B280" s="3"/>
      <c r="C280" s="3"/>
      <c r="D280" s="3"/>
    </row>
    <row r="281" customFormat="false" ht="15" hidden="false" customHeight="false" outlineLevel="0" collapsed="false">
      <c r="A281" s="3"/>
      <c r="B281" s="3"/>
      <c r="C281" s="3"/>
      <c r="D281" s="3"/>
    </row>
    <row r="282" customFormat="false" ht="15" hidden="false" customHeight="false" outlineLevel="0" collapsed="false">
      <c r="A282" s="3"/>
      <c r="B282" s="3"/>
      <c r="C282" s="3"/>
      <c r="D282" s="3"/>
    </row>
    <row r="283" customFormat="false" ht="15" hidden="false" customHeight="false" outlineLevel="0" collapsed="false">
      <c r="A283" s="3"/>
      <c r="B283" s="3"/>
      <c r="C283" s="3"/>
      <c r="D283" s="3"/>
    </row>
    <row r="284" customFormat="false" ht="15" hidden="false" customHeight="false" outlineLevel="0" collapsed="false">
      <c r="A284" s="3"/>
      <c r="B284" s="3"/>
      <c r="C284" s="3"/>
      <c r="D284" s="3"/>
    </row>
    <row r="285" customFormat="false" ht="15" hidden="false" customHeight="false" outlineLevel="0" collapsed="false">
      <c r="A285" s="3"/>
      <c r="B285" s="3"/>
      <c r="C285" s="3"/>
      <c r="D285" s="3"/>
    </row>
    <row r="286" customFormat="false" ht="15" hidden="false" customHeight="false" outlineLevel="0" collapsed="false">
      <c r="A286" s="3"/>
      <c r="B286" s="3"/>
      <c r="C286" s="3"/>
      <c r="D286" s="3"/>
    </row>
    <row r="287" customFormat="false" ht="15" hidden="false" customHeight="false" outlineLevel="0" collapsed="false">
      <c r="A287" s="3"/>
      <c r="B287" s="3"/>
      <c r="C287" s="3"/>
      <c r="D287" s="3"/>
    </row>
    <row r="288" customFormat="false" ht="15" hidden="false" customHeight="false" outlineLevel="0" collapsed="false">
      <c r="A288" s="3"/>
      <c r="B288" s="3"/>
      <c r="C288" s="3"/>
      <c r="D288" s="3"/>
    </row>
    <row r="289" customFormat="false" ht="15" hidden="false" customHeight="false" outlineLevel="0" collapsed="false">
      <c r="A289" s="3"/>
      <c r="B289" s="3"/>
      <c r="C289" s="3"/>
      <c r="D289" s="3"/>
    </row>
    <row r="290" customFormat="false" ht="15" hidden="false" customHeight="false" outlineLevel="0" collapsed="false">
      <c r="A290" s="3"/>
      <c r="B290" s="3"/>
      <c r="C290" s="3"/>
      <c r="D290" s="3"/>
    </row>
    <row r="291" customFormat="false" ht="15" hidden="false" customHeight="false" outlineLevel="0" collapsed="false">
      <c r="A291" s="3"/>
      <c r="B291" s="3"/>
      <c r="C291" s="3"/>
      <c r="D291" s="3"/>
    </row>
    <row r="292" customFormat="false" ht="15" hidden="false" customHeight="false" outlineLevel="0" collapsed="false">
      <c r="A292" s="3"/>
      <c r="B292" s="3"/>
      <c r="C292" s="3"/>
      <c r="D292" s="3"/>
    </row>
    <row r="293" customFormat="false" ht="15" hidden="false" customHeight="false" outlineLevel="0" collapsed="false">
      <c r="A293" s="3"/>
      <c r="B293" s="3"/>
      <c r="C293" s="3"/>
      <c r="D293" s="3"/>
    </row>
    <row r="294" customFormat="false" ht="15" hidden="false" customHeight="false" outlineLevel="0" collapsed="false">
      <c r="A294" s="3"/>
      <c r="B294" s="3"/>
      <c r="C294" s="3"/>
      <c r="D294" s="3"/>
    </row>
    <row r="295" customFormat="false" ht="15" hidden="false" customHeight="false" outlineLevel="0" collapsed="false">
      <c r="A295" s="3"/>
      <c r="B295" s="3"/>
      <c r="C295" s="3"/>
      <c r="D295" s="3"/>
    </row>
    <row r="296" customFormat="false" ht="15" hidden="false" customHeight="false" outlineLevel="0" collapsed="false">
      <c r="A296" s="3"/>
      <c r="B296" s="3"/>
      <c r="C296" s="3"/>
      <c r="D296" s="3"/>
    </row>
    <row r="297" customFormat="false" ht="15" hidden="false" customHeight="false" outlineLevel="0" collapsed="false">
      <c r="A297" s="3"/>
      <c r="B297" s="3"/>
      <c r="C297" s="3"/>
      <c r="D297" s="3"/>
    </row>
    <row r="298" customFormat="false" ht="15" hidden="false" customHeight="false" outlineLevel="0" collapsed="false">
      <c r="A298" s="3"/>
      <c r="B298" s="3"/>
      <c r="C298" s="3"/>
      <c r="D298" s="3"/>
    </row>
    <row r="299" customFormat="false" ht="15" hidden="false" customHeight="false" outlineLevel="0" collapsed="false">
      <c r="A299" s="3"/>
      <c r="B299" s="3"/>
      <c r="C299" s="3"/>
      <c r="D299" s="3"/>
    </row>
    <row r="300" customFormat="false" ht="15" hidden="false" customHeight="false" outlineLevel="0" collapsed="false">
      <c r="A300" s="3"/>
      <c r="B300" s="3"/>
      <c r="C300" s="3"/>
      <c r="D300" s="3"/>
    </row>
    <row r="301" customFormat="false" ht="15" hidden="false" customHeight="false" outlineLevel="0" collapsed="false">
      <c r="A301" s="3"/>
      <c r="B301" s="3"/>
      <c r="C301" s="3"/>
      <c r="D3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G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9"/>
  </cols>
  <sheetData>
    <row r="1" customFormat="false" ht="21.75" hidden="false" customHeight="true" outlineLevel="0" collapsed="false">
      <c r="A1" s="5" t="s">
        <v>343</v>
      </c>
      <c r="B1" s="5" t="s">
        <v>344</v>
      </c>
      <c r="C1" s="5" t="s">
        <v>345</v>
      </c>
      <c r="D1" s="5" t="s">
        <v>346</v>
      </c>
      <c r="E1" s="5" t="s">
        <v>347</v>
      </c>
      <c r="F1" s="5" t="s">
        <v>348</v>
      </c>
      <c r="G1" s="5" t="s">
        <v>349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E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9" t="s">
        <v>350</v>
      </c>
      <c r="B1" s="10" t="n">
        <f aca="false">COUNTIF(Statisztika!C:C,"kor_vege")</f>
        <v>0</v>
      </c>
      <c r="C1" s="10"/>
      <c r="D1" s="10"/>
      <c r="E1" s="10"/>
    </row>
    <row r="2" customFormat="false" ht="15" hidden="false" customHeight="false" outlineLevel="0" collapsed="false">
      <c r="A2" s="9" t="s">
        <v>351</v>
      </c>
      <c r="B2" s="10" t="n">
        <f aca="false">COUNTIF(Statisztika!C:C,"valasz")</f>
        <v>0</v>
      </c>
      <c r="C2" s="10"/>
      <c r="D2" s="10"/>
      <c r="E2" s="10"/>
    </row>
    <row r="3" customFormat="false" ht="15" hidden="false" customHeight="false" outlineLevel="0" collapsed="false">
      <c r="A3" s="9" t="s">
        <v>352</v>
      </c>
      <c r="B3" s="11" t="n">
        <f aca="false">IF(B2=0,0,COUNTIFS(Statisztika!C:C,"valasz",Statisztika!G:G,"IGEN")/B2)</f>
        <v>0</v>
      </c>
      <c r="C3" s="10"/>
      <c r="D3" s="10"/>
      <c r="E3" s="10"/>
    </row>
    <row r="4" customFormat="false" ht="15" hidden="false" customHeight="false" outlineLevel="0" collapsed="false">
      <c r="A4" s="10"/>
      <c r="B4" s="10"/>
      <c r="C4" s="10"/>
      <c r="D4" s="10"/>
      <c r="E4" s="10"/>
    </row>
    <row r="5" customFormat="false" ht="15" hidden="false" customHeight="false" outlineLevel="0" collapsed="false">
      <c r="A5" s="12" t="s">
        <v>353</v>
      </c>
      <c r="B5" s="10"/>
      <c r="C5" s="10"/>
      <c r="D5" s="10"/>
      <c r="E5" s="10"/>
    </row>
    <row r="6" customFormat="false" ht="15" hidden="false" customHeight="false" outlineLevel="0" collapsed="false">
      <c r="A6" s="13" t="s">
        <v>27</v>
      </c>
      <c r="B6" s="13" t="s">
        <v>354</v>
      </c>
      <c r="C6" s="13" t="s">
        <v>355</v>
      </c>
      <c r="D6" s="13" t="s">
        <v>356</v>
      </c>
      <c r="E6" s="13" t="s">
        <v>357</v>
      </c>
    </row>
    <row r="7" customFormat="false" ht="15" hidden="false" customHeight="false" outlineLevel="0" collapsed="false">
      <c r="A7" s="10" t="str">
        <f aca="false">IF(Kartyak!A2="","",Kartyak!A2)</f>
        <v>K-001</v>
      </c>
      <c r="B7" s="10" t="n">
        <f aca="false">IF(A7="","",COUNTIFS(Statisztika!D:D,A7,Statisztika!C:C,"valasz"))</f>
        <v>0</v>
      </c>
      <c r="C7" s="10" t="n">
        <f aca="false">IF(A7="","",COUNTIFS(Statisztika!D:D,A7,Statisztika!G:G,"NEM"))</f>
        <v>0</v>
      </c>
      <c r="D7" s="11" t="str">
        <f aca="false">IF(OR(A7="",B7=0),"",C7/B7)</f>
        <v/>
      </c>
      <c r="E7" s="10" t="str">
        <f aca="false">IF(A7="","",Kartyak!D2)</f>
        <v>A nagyon erős menstruációs fájdalom természetes, ki kell bírni.</v>
      </c>
    </row>
    <row r="8" customFormat="false" ht="15" hidden="false" customHeight="false" outlineLevel="0" collapsed="false">
      <c r="A8" s="10" t="str">
        <f aca="false">IF(Kartyak!A3="","",Kartyak!A3)</f>
        <v>K-002</v>
      </c>
      <c r="B8" s="10" t="n">
        <f aca="false">IF(A8="","",COUNTIFS(Statisztika!D:D,A8,Statisztika!C:C,"valasz"))</f>
        <v>0</v>
      </c>
      <c r="C8" s="10" t="n">
        <f aca="false">IF(A8="","",COUNTIFS(Statisztika!D:D,A8,Statisztika!G:G,"NEM"))</f>
        <v>0</v>
      </c>
      <c r="D8" s="11" t="str">
        <f aca="false">IF(OR(A8="",B8=0),"",C8/B8)</f>
        <v/>
      </c>
      <c r="E8" s="10" t="str">
        <f aca="false">IF(A8="","",Kartyak!D3)</f>
        <v>Az endometriózis a termékeny korú nők kb. 10–15%-át érinti.</v>
      </c>
    </row>
    <row r="9" customFormat="false" ht="15" hidden="false" customHeight="false" outlineLevel="0" collapsed="false">
      <c r="A9" s="10" t="str">
        <f aca="false">IF(Kartyak!A4="","",Kartyak!A4)</f>
        <v>K-003</v>
      </c>
      <c r="B9" s="10" t="n">
        <f aca="false">IF(A9="","",COUNTIFS(Statisztika!D:D,A9,Statisztika!C:C,"valasz"))</f>
        <v>0</v>
      </c>
      <c r="C9" s="10" t="n">
        <f aca="false">IF(A9="","",COUNTIFS(Statisztika!D:D,A9,Statisztika!G:G,"NEM"))</f>
        <v>0</v>
      </c>
      <c r="D9" s="11" t="str">
        <f aca="false">IF(OR(A9="",B9=0),"",C9/B9)</f>
        <v/>
      </c>
      <c r="E9" s="10" t="str">
        <f aca="false">IF(A9="","",Kartyak!D4)</f>
        <v>Minél erősebb a fájdalom, annál súlyosabb az endometriózis.</v>
      </c>
    </row>
    <row r="10" customFormat="false" ht="15" hidden="false" customHeight="false" outlineLevel="0" collapsed="false">
      <c r="A10" s="10" t="str">
        <f aca="false">IF(Kartyak!A5="","",Kartyak!A5)</f>
        <v>K-004</v>
      </c>
      <c r="B10" s="10" t="n">
        <f aca="false">IF(A10="","",COUNTIFS(Statisztika!D:D,A10,Statisztika!C:C,"valasz"))</f>
        <v>0</v>
      </c>
      <c r="C10" s="10" t="n">
        <f aca="false">IF(A10="","",COUNTIFS(Statisztika!D:D,A10,Statisztika!G:G,"NEM"))</f>
        <v>0</v>
      </c>
      <c r="D10" s="11" t="str">
        <f aca="false">IF(OR(A10="",B10=0),"",C10/B10)</f>
        <v/>
      </c>
      <c r="E10" s="10" t="str">
        <f aca="false">IF(A10="","",Kartyak!D5)</f>
        <v>Az endometriózis lehet teljesen tünetmentes is.</v>
      </c>
    </row>
    <row r="11" customFormat="false" ht="15" hidden="false" customHeight="false" outlineLevel="0" collapsed="false">
      <c r="A11" s="10" t="str">
        <f aca="false">IF(Kartyak!A6="","",Kartyak!A6)</f>
        <v>K-005</v>
      </c>
      <c r="B11" s="10" t="n">
        <f aca="false">IF(A11="","",COUNTIFS(Statisztika!D:D,A11,Statisztika!C:C,"valasz"))</f>
        <v>0</v>
      </c>
      <c r="C11" s="10" t="n">
        <f aca="false">IF(A11="","",COUNTIFS(Statisztika!D:D,A11,Statisztika!G:G,"NEM"))</f>
        <v>0</v>
      </c>
      <c r="D11" s="11" t="str">
        <f aca="false">IF(OR(A11="",B11=0),"",C11/B11)</f>
        <v/>
      </c>
      <c r="E11" s="10" t="str">
        <f aca="false">IF(A11="","",Kartyak!D6)</f>
        <v>Az endometriózis diagnózisához mindig műtét kell.</v>
      </c>
    </row>
    <row r="12" customFormat="false" ht="15" hidden="false" customHeight="false" outlineLevel="0" collapsed="false">
      <c r="A12" s="10" t="str">
        <f aca="false">IF(Kartyak!A7="","",Kartyak!A7)</f>
        <v>K-006</v>
      </c>
      <c r="B12" s="10" t="n">
        <f aca="false">IF(A12="","",COUNTIFS(Statisztika!D:D,A12,Statisztika!C:C,"valasz"))</f>
        <v>0</v>
      </c>
      <c r="C12" s="10" t="n">
        <f aca="false">IF(A12="","",COUNTIFS(Statisztika!D:D,A12,Statisztika!G:G,"NEM"))</f>
        <v>0</v>
      </c>
      <c r="D12" s="11" t="str">
        <f aca="false">IF(OR(A12="",B12=0),"",C12/B12)</f>
        <v/>
      </c>
      <c r="E12" s="10" t="str">
        <f aca="false">IF(A12="","",Kartyak!D7)</f>
        <v>Az endometriózis pontos oka ismert.</v>
      </c>
    </row>
    <row r="13" customFormat="false" ht="15" hidden="false" customHeight="false" outlineLevel="0" collapsed="false">
      <c r="A13" s="10" t="str">
        <f aca="false">IF(Kartyak!A8="","",Kartyak!A8)</f>
        <v>K-007</v>
      </c>
      <c r="B13" s="10" t="n">
        <f aca="false">IF(A13="","",COUNTIFS(Statisztika!D:D,A13,Statisztika!C:C,"valasz"))</f>
        <v>0</v>
      </c>
      <c r="C13" s="10" t="n">
        <f aca="false">IF(A13="","",COUNTIFS(Statisztika!D:D,A13,Statisztika!G:G,"NEM"))</f>
        <v>0</v>
      </c>
      <c r="D13" s="11" t="str">
        <f aca="false">IF(OR(A13="",B13=0),"",C13/B13)</f>
        <v/>
      </c>
      <c r="E13" s="10" t="str">
        <f aca="false">IF(A13="","",Kartyak!D8)</f>
        <v>Az endometriózis csak a méhet érintheti.</v>
      </c>
    </row>
    <row r="14" customFormat="false" ht="15" hidden="false" customHeight="false" outlineLevel="0" collapsed="false">
      <c r="A14" s="10" t="str">
        <f aca="false">IF(Kartyak!A9="","",Kartyak!A9)</f>
        <v>K-008</v>
      </c>
      <c r="B14" s="10" t="n">
        <f aca="false">IF(A14="","",COUNTIFS(Statisztika!D:D,A14,Statisztika!C:C,"valasz"))</f>
        <v>0</v>
      </c>
      <c r="C14" s="10" t="n">
        <f aca="false">IF(A14="","",COUNTIFS(Statisztika!D:D,A14,Statisztika!G:G,"NEM"))</f>
        <v>0</v>
      </c>
      <c r="D14" s="11" t="str">
        <f aca="false">IF(OR(A14="",B14=0),"",C14/B14)</f>
        <v/>
      </c>
      <c r="E14" s="10" t="str">
        <f aca="false">IF(A14="","",Kartyak!D9)</f>
        <v>Menstruáció alatt is lehet sportolni és úszni.</v>
      </c>
    </row>
    <row r="15" customFormat="false" ht="15" hidden="false" customHeight="false" outlineLevel="0" collapsed="false">
      <c r="A15" s="10" t="str">
        <f aca="false">IF(Kartyak!A10="","",Kartyak!A10)</f>
        <v>K-009</v>
      </c>
      <c r="B15" s="10" t="n">
        <f aca="false">IF(A15="","",COUNTIFS(Statisztika!D:D,A15,Statisztika!C:C,"valasz"))</f>
        <v>0</v>
      </c>
      <c r="C15" s="10" t="n">
        <f aca="false">IF(A15="","",COUNTIFS(Statisztika!D:D,A15,Statisztika!G:G,"NEM"))</f>
        <v>0</v>
      </c>
      <c r="D15" s="11" t="str">
        <f aca="false">IF(OR(A15="",B15=0),"",C15/B15)</f>
        <v/>
      </c>
      <c r="E15" s="10" t="str">
        <f aca="false">IF(A15="","",Kartyak!D10)</f>
        <v>A menstruációs vérrel méreganyagok távoznak a testből.</v>
      </c>
    </row>
    <row r="16" customFormat="false" ht="15" hidden="false" customHeight="false" outlineLevel="0" collapsed="false">
      <c r="A16" s="10" t="str">
        <f aca="false">IF(Kartyak!A11="","",Kartyak!A11)</f>
        <v>K-010</v>
      </c>
      <c r="B16" s="10" t="n">
        <f aca="false">IF(A16="","",COUNTIFS(Statisztika!D:D,A16,Statisztika!C:C,"valasz"))</f>
        <v>0</v>
      </c>
      <c r="C16" s="10" t="n">
        <f aca="false">IF(A16="","",COUNTIFS(Statisztika!D:D,A16,Statisztika!G:G,"NEM"))</f>
        <v>0</v>
      </c>
      <c r="D16" s="11" t="str">
        <f aca="false">IF(OR(A16="",B16=0),"",C16/B16)</f>
        <v/>
      </c>
      <c r="E16" s="10" t="str">
        <f aca="false">IF(A16="","",Kartyak!D11)</f>
        <v>A menstruáció kínos téma, jobb nem beszélni róla.</v>
      </c>
    </row>
    <row r="17" customFormat="false" ht="15" hidden="false" customHeight="false" outlineLevel="0" collapsed="false">
      <c r="A17" s="10" t="str">
        <f aca="false">IF(Kartyak!A12="","",Kartyak!A12)</f>
        <v>K-011</v>
      </c>
      <c r="B17" s="10" t="n">
        <f aca="false">IF(A17="","",COUNTIFS(Statisztika!D:D,A17,Statisztika!C:C,"valasz"))</f>
        <v>0</v>
      </c>
      <c r="C17" s="10" t="n">
        <f aca="false">IF(A17="","",COUNTIFS(Statisztika!D:D,A17,Statisztika!G:G,"NEM"))</f>
        <v>0</v>
      </c>
      <c r="D17" s="11" t="str">
        <f aca="false">IF(OR(A17="",B17=0),"",C17/B17)</f>
        <v/>
      </c>
      <c r="E17" s="10" t="str">
        <f aca="false">IF(A17="","",Kartyak!D12)</f>
        <v>Az első években a rendszertelen ciklus teljesen normális lehet.</v>
      </c>
    </row>
    <row r="18" customFormat="false" ht="15" hidden="false" customHeight="false" outlineLevel="0" collapsed="false">
      <c r="A18" s="10" t="str">
        <f aca="false">IF(Kartyak!A13="","",Kartyak!A13)</f>
        <v>K-012</v>
      </c>
      <c r="B18" s="10" t="n">
        <f aca="false">IF(A18="","",COUNTIFS(Statisztika!D:D,A18,Statisztika!C:C,"valasz"))</f>
        <v>0</v>
      </c>
      <c r="C18" s="10" t="n">
        <f aca="false">IF(A18="","",COUNTIFS(Statisztika!D:D,A18,Statisztika!G:G,"NEM"))</f>
        <v>0</v>
      </c>
      <c r="D18" s="11" t="str">
        <f aca="false">IF(OR(A18="",B18=0),"",C18/B18)</f>
        <v/>
      </c>
      <c r="E18" s="10" t="str">
        <f aca="false">IF(A18="","",Kartyak!D13)</f>
        <v>Magyarországon átlagosan 4 év telik el az első tünetektől a diagnózisig.</v>
      </c>
    </row>
    <row r="19" customFormat="false" ht="15" hidden="false" customHeight="false" outlineLevel="0" collapsed="false">
      <c r="A19" s="10" t="str">
        <f aca="false">IF(Kartyak!A14="","",Kartyak!A14)</f>
        <v>K-013</v>
      </c>
      <c r="B19" s="10" t="n">
        <f aca="false">IF(A19="","",COUNTIFS(Statisztika!D:D,A19,Statisztika!C:C,"valasz"))</f>
        <v>0</v>
      </c>
      <c r="C19" s="10" t="n">
        <f aca="false">IF(A19="","",COUNTIFS(Statisztika!D:D,A19,Statisztika!G:G,"NEM"))</f>
        <v>0</v>
      </c>
      <c r="D19" s="11" t="str">
        <f aca="false">IF(OR(A19="",B19=0),"",C19/B19)</f>
        <v/>
      </c>
      <c r="E19" s="10" t="str">
        <f aca="false">IF(A19="","",Kartyak!D14)</f>
        <v>Endometriózis csak idősebb, már szült nőknél fordul elő.</v>
      </c>
    </row>
    <row r="20" customFormat="false" ht="15" hidden="false" customHeight="false" outlineLevel="0" collapsed="false">
      <c r="A20" s="10" t="str">
        <f aca="false">IF(Kartyak!A15="","",Kartyak!A15)</f>
        <v>K-014</v>
      </c>
      <c r="B20" s="10" t="n">
        <f aca="false">IF(A20="","",COUNTIFS(Statisztika!D:D,A20,Statisztika!C:C,"valasz"))</f>
        <v>0</v>
      </c>
      <c r="C20" s="10" t="n">
        <f aca="false">IF(A20="","",COUNTIFS(Statisztika!D:D,A20,Statisztika!G:G,"NEM"))</f>
        <v>0</v>
      </c>
      <c r="D20" s="11" t="str">
        <f aca="false">IF(OR(A20="",B20=0),"",C20/B20)</f>
        <v/>
      </c>
      <c r="E20" s="10" t="str">
        <f aca="false">IF(A20="","",Kartyak!D15)</f>
        <v>A női eredetű meddőség hátterében kb. 30%-ban endometriózis áll.</v>
      </c>
    </row>
    <row r="21" customFormat="false" ht="15" hidden="false" customHeight="false" outlineLevel="0" collapsed="false">
      <c r="A21" s="10" t="str">
        <f aca="false">IF(Kartyak!A16="","",Kartyak!A16)</f>
        <v>K-015</v>
      </c>
      <c r="B21" s="10" t="n">
        <f aca="false">IF(A21="","",COUNTIFS(Statisztika!D:D,A21,Statisztika!C:C,"valasz"))</f>
        <v>0</v>
      </c>
      <c r="C21" s="10" t="n">
        <f aca="false">IF(A21="","",COUNTIFS(Statisztika!D:D,A21,Statisztika!G:G,"NEM"))</f>
        <v>0</v>
      </c>
      <c r="D21" s="11" t="str">
        <f aca="false">IF(OR(A21="",B21=0),"",C21/B21)</f>
        <v/>
      </c>
      <c r="E21" s="10" t="str">
        <f aca="false">IF(A21="","",Kartyak!D16)</f>
        <v>Aki endometriózissal él, annak biztosan nem lehet gyereke.</v>
      </c>
    </row>
    <row r="22" customFormat="false" ht="15" hidden="false" customHeight="false" outlineLevel="0" collapsed="false">
      <c r="A22" s="10" t="str">
        <f aca="false">IF(Kartyak!A17="","",Kartyak!A17)</f>
        <v>K-016</v>
      </c>
      <c r="B22" s="10" t="n">
        <f aca="false">IF(A22="","",COUNTIFS(Statisztika!D:D,A22,Statisztika!C:C,"valasz"))</f>
        <v>0</v>
      </c>
      <c r="C22" s="10" t="n">
        <f aca="false">IF(A22="","",COUNTIFS(Statisztika!D:D,A22,Statisztika!G:G,"NEM"))</f>
        <v>0</v>
      </c>
      <c r="D22" s="11" t="str">
        <f aca="false">IF(OR(A22="",B22=0),"",C22/B22)</f>
        <v/>
      </c>
      <c r="E22" s="10" t="str">
        <f aca="false">IF(A22="","",Kartyak!D17)</f>
        <v>A menstruációs görcs azt jelenti, hogy a méh dolgozik.</v>
      </c>
    </row>
    <row r="23" customFormat="false" ht="15" hidden="false" customHeight="false" outlineLevel="0" collapsed="false">
      <c r="A23" s="10" t="str">
        <f aca="false">IF(Kartyak!A18="","",Kartyak!A18)</f>
        <v>K-017</v>
      </c>
      <c r="B23" s="10" t="n">
        <f aca="false">IF(A23="","",COUNTIFS(Statisztika!D:D,A23,Statisztika!C:C,"valasz"))</f>
        <v>0</v>
      </c>
      <c r="C23" s="10" t="n">
        <f aca="false">IF(A23="","",COUNTIFS(Statisztika!D:D,A23,Statisztika!G:G,"NEM"))</f>
        <v>0</v>
      </c>
      <c r="D23" s="11" t="str">
        <f aca="false">IF(OR(A23="",B23=0),"",C23/B23)</f>
        <v/>
      </c>
      <c r="E23" s="10" t="str">
        <f aca="false">IF(A23="","",Kartyak!D18)</f>
        <v>Az endometriózis csak a nőket érinti, a környezetüknek nincs dolga vele.</v>
      </c>
    </row>
    <row r="24" customFormat="false" ht="15" hidden="false" customHeight="false" outlineLevel="0" collapsed="false">
      <c r="A24" s="10" t="str">
        <f aca="false">IF(Kartyak!A19="","",Kartyak!A19)</f>
        <v>K-018</v>
      </c>
      <c r="B24" s="10" t="n">
        <f aca="false">IF(A24="","",COUNTIFS(Statisztika!D:D,A24,Statisztika!C:C,"valasz"))</f>
        <v>0</v>
      </c>
      <c r="C24" s="10" t="n">
        <f aca="false">IF(A24="","",COUNTIFS(Statisztika!D:D,A24,Statisztika!G:G,"NEM"))</f>
        <v>0</v>
      </c>
      <c r="D24" s="11" t="str">
        <f aca="false">IF(OR(A24="",B24=0),"",C24/B24)</f>
        <v/>
      </c>
      <c r="E24" s="10" t="str">
        <f aca="false">IF(A24="","",Kartyak!D19)</f>
        <v>Endometriózisnál a panaszok a menstruáció alatt rendszerint erősebbek.</v>
      </c>
    </row>
    <row r="25" customFormat="false" ht="15" hidden="false" customHeight="false" outlineLevel="0" collapsed="false">
      <c r="A25" s="10" t="str">
        <f aca="false">IF(Kartyak!A20="","",Kartyak!A20)</f>
        <v>K-019</v>
      </c>
      <c r="B25" s="10" t="n">
        <f aca="false">IF(A25="","",COUNTIFS(Statisztika!D:D,A25,Statisztika!C:C,"valasz"))</f>
        <v>0</v>
      </c>
      <c r="C25" s="10" t="n">
        <f aca="false">IF(A25="","",COUNTIFS(Statisztika!D:D,A25,Statisztika!G:G,"NEM"))</f>
        <v>0</v>
      </c>
      <c r="D25" s="11" t="str">
        <f aca="false">IF(OR(A25="",B25=0),"",C25/B25)</f>
        <v/>
      </c>
      <c r="E25" s="10" t="str">
        <f aca="false">IF(A25="","",Kartyak!D20)</f>
        <v>Az alapítvány kisokosa szerint a kezelés mellett az étrend és a mozgás is fontos.</v>
      </c>
    </row>
    <row r="26" customFormat="false" ht="15" hidden="false" customHeight="false" outlineLevel="0" collapsed="false">
      <c r="A26" s="10" t="str">
        <f aca="false">IF(Kartyak!A21="","",Kartyak!A21)</f>
        <v>K-020</v>
      </c>
      <c r="B26" s="10" t="n">
        <f aca="false">IF(A26="","",COUNTIFS(Statisztika!D:D,A26,Statisztika!C:C,"valasz"))</f>
        <v>0</v>
      </c>
      <c r="C26" s="10" t="n">
        <f aca="false">IF(A26="","",COUNTIFS(Statisztika!D:D,A26,Statisztika!G:G,"NEM"))</f>
        <v>0</v>
      </c>
      <c r="D26" s="11" t="str">
        <f aca="false">IF(OR(A26="",B26=0),"",C26/B26)</f>
        <v/>
      </c>
      <c r="E26" s="10" t="str">
        <f aca="false">IF(A26="","",Kartyak!D21)</f>
        <v>A menstruáció egy ciklus vége és egyben a következő kezdete.</v>
      </c>
    </row>
    <row r="27" customFormat="false" ht="15" hidden="false" customHeight="false" outlineLevel="0" collapsed="false">
      <c r="A27" s="10" t="str">
        <f aca="false">IF(Kartyak!A22="","",Kartyak!A22)</f>
        <v>K-101</v>
      </c>
      <c r="B27" s="10" t="n">
        <f aca="false">IF(A27="","",COUNTIFS(Statisztika!D:D,A27,Statisztika!C:C,"valasz"))</f>
        <v>0</v>
      </c>
      <c r="C27" s="10" t="n">
        <f aca="false">IF(A27="","",COUNTIFS(Statisztika!D:D,A27,Statisztika!G:G,"NEM"))</f>
        <v>0</v>
      </c>
      <c r="D27" s="11" t="str">
        <f aca="false">IF(OR(A27="",B27=0),"",C27/B27)</f>
        <v/>
      </c>
      <c r="E27" s="10" t="str">
        <f aca="false">IF(A27="","",Kartyak!D22)</f>
        <v>Egy 13 éves lánynál az első két évben a ciklus hol 25, hol 40 napos.</v>
      </c>
    </row>
    <row r="28" customFormat="false" ht="15" hidden="false" customHeight="false" outlineLevel="0" collapsed="false">
      <c r="A28" s="10" t="str">
        <f aca="false">IF(Kartyak!A23="","",Kartyak!A23)</f>
        <v>K-102</v>
      </c>
      <c r="B28" s="10" t="n">
        <f aca="false">IF(A28="","",COUNTIFS(Statisztika!D:D,A28,Statisztika!C:C,"valasz"))</f>
        <v>0</v>
      </c>
      <c r="C28" s="10" t="n">
        <f aca="false">IF(A28="","",COUNTIFS(Statisztika!D:D,A28,Statisztika!G:G,"NEM"))</f>
        <v>0</v>
      </c>
      <c r="D28" s="11" t="str">
        <f aca="false">IF(OR(A28="",B28=0),"",C28/B28)</f>
        <v/>
      </c>
      <c r="E28" s="10" t="str">
        <f aca="false">IF(A28="","",Kartyak!D23)</f>
        <v>Valakinek menstruáció alatt óránként kell betétet vagy tampont cserélnie, mert átázik.</v>
      </c>
    </row>
    <row r="29" customFormat="false" ht="15" hidden="false" customHeight="false" outlineLevel="0" collapsed="false">
      <c r="A29" s="10" t="str">
        <f aca="false">IF(Kartyak!A24="","",Kartyak!A24)</f>
        <v>K-103</v>
      </c>
      <c r="B29" s="10" t="n">
        <f aca="false">IF(A29="","",COUNTIFS(Statisztika!D:D,A29,Statisztika!C:C,"valasz"))</f>
        <v>0</v>
      </c>
      <c r="C29" s="10" t="n">
        <f aca="false">IF(A29="","",COUNTIFS(Statisztika!D:D,A29,Statisztika!G:G,"NEM"))</f>
        <v>0</v>
      </c>
      <c r="D29" s="11" t="str">
        <f aca="false">IF(OR(A29="",B29=0),"",C29/B29)</f>
        <v/>
      </c>
      <c r="E29" s="10" t="str">
        <f aca="false">IF(A29="","",Kartyak!D24)</f>
        <v>Egy felnőtt nő ciklusa 26 és 32 nap között változik.</v>
      </c>
    </row>
    <row r="30" customFormat="false" ht="15" hidden="false" customHeight="false" outlineLevel="0" collapsed="false">
      <c r="A30" s="10" t="str">
        <f aca="false">IF(Kartyak!A25="","",Kartyak!A25)</f>
        <v>K-104</v>
      </c>
      <c r="B30" s="10" t="n">
        <f aca="false">IF(A30="","",COUNTIFS(Statisztika!D:D,A30,Statisztika!C:C,"valasz"))</f>
        <v>0</v>
      </c>
      <c r="C30" s="10" t="n">
        <f aca="false">IF(A30="","",COUNTIFS(Statisztika!D:D,A30,Statisztika!G:G,"NEM"))</f>
        <v>0</v>
      </c>
      <c r="D30" s="11" t="str">
        <f aca="false">IF(OR(A30="",B30=0),"",C30/B30)</f>
        <v/>
      </c>
      <c r="E30" s="10" t="str">
        <f aca="false">IF(A30="","",Kartyak!D25)</f>
        <v>A vérzés 5 napig tart.</v>
      </c>
    </row>
    <row r="31" customFormat="false" ht="15" hidden="false" customHeight="false" outlineLevel="0" collapsed="false">
      <c r="A31" s="10" t="str">
        <f aca="false">IF(Kartyak!A26="","",Kartyak!A26)</f>
        <v>K-105</v>
      </c>
      <c r="B31" s="10" t="n">
        <f aca="false">IF(A31="","",COUNTIFS(Statisztika!D:D,A31,Statisztika!C:C,"valasz"))</f>
        <v>0</v>
      </c>
      <c r="C31" s="10" t="n">
        <f aca="false">IF(A31="","",COUNTIFS(Statisztika!D:D,A31,Statisztika!G:G,"NEM"))</f>
        <v>0</v>
      </c>
      <c r="D31" s="11" t="str">
        <f aca="false">IF(OR(A31="",B31=0),"",C31/B31)</f>
        <v/>
      </c>
      <c r="E31" s="10" t="str">
        <f aca="false">IF(A31="","",Kartyak!D26)</f>
        <v>Egy felnőtt nő vérzése rendszeresen 10 napig tart.</v>
      </c>
    </row>
    <row r="32" customFormat="false" ht="15" hidden="false" customHeight="false" outlineLevel="0" collapsed="false">
      <c r="A32" s="10" t="str">
        <f aca="false">IF(Kartyak!A27="","",Kartyak!A27)</f>
        <v>K-106</v>
      </c>
      <c r="B32" s="10" t="n">
        <f aca="false">IF(A32="","",COUNTIFS(Statisztika!D:D,A32,Statisztika!C:C,"valasz"))</f>
        <v>0</v>
      </c>
      <c r="C32" s="10" t="n">
        <f aca="false">IF(A32="","",COUNTIFS(Statisztika!D:D,A32,Statisztika!G:G,"NEM"))</f>
        <v>0</v>
      </c>
      <c r="D32" s="11" t="str">
        <f aca="false">IF(OR(A32="",B32=0),"",C32/B32)</f>
        <v/>
      </c>
      <c r="E32" s="10" t="str">
        <f aca="false">IF(A32="","",Kartyak!D27)</f>
        <v>Egy lánynak 15 évesen még nem jött meg az első menstruációja.</v>
      </c>
    </row>
    <row r="33" customFormat="false" ht="15" hidden="false" customHeight="false" outlineLevel="0" collapsed="false">
      <c r="A33" s="10" t="str">
        <f aca="false">IF(Kartyak!A28="","",Kartyak!A28)</f>
        <v>K-107</v>
      </c>
      <c r="B33" s="10" t="n">
        <f aca="false">IF(A33="","",COUNTIFS(Statisztika!D:D,A33,Statisztika!C:C,"valasz"))</f>
        <v>0</v>
      </c>
      <c r="C33" s="10" t="n">
        <f aca="false">IF(A33="","",COUNTIFS(Statisztika!D:D,A33,Statisztika!G:G,"NEM"))</f>
        <v>0</v>
      </c>
      <c r="D33" s="11" t="str">
        <f aca="false">IF(OR(A33="",B33=0),"",C33/B33)</f>
        <v/>
      </c>
      <c r="E33" s="10" t="str">
        <f aca="false">IF(A33="","",Kartyak!D28)</f>
        <v>Menstruáció alatt enyhe alhasi és derékfájás jelentkezik.</v>
      </c>
    </row>
    <row r="34" customFormat="false" ht="15" hidden="false" customHeight="false" outlineLevel="0" collapsed="false">
      <c r="A34" s="10" t="str">
        <f aca="false">IF(Kartyak!A29="","",Kartyak!A29)</f>
        <v>K-108</v>
      </c>
      <c r="B34" s="10" t="n">
        <f aca="false">IF(A34="","",COUNTIFS(Statisztika!D:D,A34,Statisztika!C:C,"valasz"))</f>
        <v>0</v>
      </c>
      <c r="C34" s="10" t="n">
        <f aca="false">IF(A34="","",COUNTIFS(Statisztika!D:D,A34,Statisztika!G:G,"NEM"))</f>
        <v>0</v>
      </c>
      <c r="D34" s="11" t="str">
        <f aca="false">IF(OR(A34="",B34=0),"",C34/B34)</f>
        <v/>
      </c>
      <c r="E34" s="10" t="str">
        <f aca="false">IF(A34="","",Kartyak!D29)</f>
        <v>A kolléganőd minden hónapban 1–2 napra ágyba kényszerül a menstruációs fájdalomtól.</v>
      </c>
    </row>
    <row r="35" customFormat="false" ht="15" hidden="false" customHeight="false" outlineLevel="0" collapsed="false">
      <c r="A35" s="10" t="str">
        <f aca="false">IF(Kartyak!A30="","",Kartyak!A30)</f>
        <v>K-109</v>
      </c>
      <c r="B35" s="10" t="n">
        <f aca="false">IF(A35="","",COUNTIFS(Statisztika!D:D,A35,Statisztika!C:C,"valasz"))</f>
        <v>0</v>
      </c>
      <c r="C35" s="10" t="n">
        <f aca="false">IF(A35="","",COUNTIFS(Statisztika!D:D,A35,Statisztika!G:G,"NEM"))</f>
        <v>0</v>
      </c>
      <c r="D35" s="11" t="str">
        <f aca="false">IF(OR(A35="",B35=0),"",C35/B35)</f>
        <v/>
      </c>
      <c r="E35" s="10" t="str">
        <f aca="false">IF(A35="","",Kartyak!D30)</f>
        <v>Kizárt terhesség mellett 90 napja nem jött meg a menstruáció.</v>
      </c>
    </row>
    <row r="36" customFormat="false" ht="15" hidden="false" customHeight="false" outlineLevel="0" collapsed="false">
      <c r="A36" s="10" t="str">
        <f aca="false">IF(Kartyak!A31="","",Kartyak!A31)</f>
        <v>K-110</v>
      </c>
      <c r="B36" s="10" t="n">
        <f aca="false">IF(A36="","",COUNTIFS(Statisztika!D:D,A36,Statisztika!C:C,"valasz"))</f>
        <v>0</v>
      </c>
      <c r="C36" s="10" t="n">
        <f aca="false">IF(A36="","",COUNTIFS(Statisztika!D:D,A36,Statisztika!G:G,"NEM"))</f>
        <v>0</v>
      </c>
      <c r="D36" s="11" t="str">
        <f aca="false">IF(OR(A36="",B36=0),"",C36/B36)</f>
        <v/>
      </c>
      <c r="E36" s="10" t="str">
        <f aca="false">IF(A36="","",Kartyak!D31)</f>
        <v>Menstruáció alatt a vizelés vagy a székelés rendszeresen erősen fáj.</v>
      </c>
    </row>
    <row r="37" customFormat="false" ht="15" hidden="false" customHeight="false" outlineLevel="0" collapsed="false">
      <c r="A37" s="10" t="str">
        <f aca="false">IF(Kartyak!A32="","",Kartyak!A32)</f>
        <v>K-111</v>
      </c>
      <c r="B37" s="10" t="n">
        <f aca="false">IF(A37="","",COUNTIFS(Statisztika!D:D,A37,Statisztika!C:C,"valasz"))</f>
        <v>0</v>
      </c>
      <c r="C37" s="10" t="n">
        <f aca="false">IF(A37="","",COUNTIFS(Statisztika!D:D,A37,Statisztika!G:G,"NEM"))</f>
        <v>0</v>
      </c>
      <c r="D37" s="11" t="str">
        <f aca="false">IF(OR(A37="",B37=0),"",C37/B37)</f>
        <v/>
      </c>
      <c r="E37" s="10" t="str">
        <f aca="false">IF(A37="","",Kartyak!D32)</f>
        <v>Hónapok óta tartó, a ciklustól független alhasi fájdalom.</v>
      </c>
    </row>
    <row r="38" customFormat="false" ht="15" hidden="false" customHeight="false" outlineLevel="0" collapsed="false">
      <c r="A38" s="10" t="str">
        <f aca="false">IF(Kartyak!A33="","",Kartyak!A33)</f>
        <v>K-112</v>
      </c>
      <c r="B38" s="10" t="n">
        <f aca="false">IF(A38="","",COUNTIFS(Statisztika!D:D,A38,Statisztika!C:C,"valasz"))</f>
        <v>0</v>
      </c>
      <c r="C38" s="10" t="n">
        <f aca="false">IF(A38="","",COUNTIFS(Statisztika!D:D,A38,Statisztika!G:G,"NEM"))</f>
        <v>0</v>
      </c>
      <c r="D38" s="11" t="str">
        <f aca="false">IF(OR(A38="",B38=0),"",C38/B38)</f>
        <v/>
      </c>
      <c r="E38" s="10" t="str">
        <f aca="false">IF(A38="","",Kartyak!D33)</f>
        <v>Menstruáció előtt pár napig enyhe puffadás, mellfeszülés, hangulatingadozás.</v>
      </c>
    </row>
    <row r="39" customFormat="false" ht="15" hidden="false" customHeight="false" outlineLevel="0" collapsed="false">
      <c r="A39" s="10" t="str">
        <f aca="false">IF(Kartyak!A34="","",Kartyak!A34)</f>
        <v>K-113</v>
      </c>
      <c r="B39" s="10" t="n">
        <f aca="false">IF(A39="","",COUNTIFS(Statisztika!D:D,A39,Statisztika!C:C,"valasz"))</f>
        <v>0</v>
      </c>
      <c r="C39" s="10" t="n">
        <f aca="false">IF(A39="","",COUNTIFS(Statisztika!D:D,A39,Statisztika!G:G,"NEM"))</f>
        <v>0</v>
      </c>
      <c r="D39" s="11" t="str">
        <f aca="false">IF(OR(A39="",B39=0),"",C39/B39)</f>
        <v/>
      </c>
      <c r="E39" s="10" t="str">
        <f aca="false">IF(A39="","",Kartyak!D34)</f>
        <v>Minden menstruáció idején visszatérő mellkasi vagy vállfájdalom.</v>
      </c>
    </row>
    <row r="40" customFormat="false" ht="15" hidden="false" customHeight="false" outlineLevel="0" collapsed="false">
      <c r="A40" s="10" t="str">
        <f aca="false">IF(Kartyak!A35="","",Kartyak!A35)</f>
        <v>K-114</v>
      </c>
      <c r="B40" s="10" t="n">
        <f aca="false">IF(A40="","",COUNTIFS(Statisztika!D:D,A40,Statisztika!C:C,"valasz"))</f>
        <v>0</v>
      </c>
      <c r="C40" s="10" t="n">
        <f aca="false">IF(A40="","",COUNTIFS(Statisztika!D:D,A40,Statisztika!G:G,"NEM"))</f>
        <v>0</v>
      </c>
      <c r="D40" s="11" t="str">
        <f aca="false">IF(OR(A40="",B40=0),"",C40/B40)</f>
        <v/>
      </c>
      <c r="E40" s="10" t="str">
        <f aca="false">IF(A40="","",Kartyak!D35)</f>
        <v>Az első években egy-egy hónapban kimarad a menstruáció.</v>
      </c>
    </row>
    <row r="41" customFormat="false" ht="15" hidden="false" customHeight="false" outlineLevel="0" collapsed="false">
      <c r="A41" s="10" t="str">
        <f aca="false">IF(Kartyak!A36="","",Kartyak!A36)</f>
        <v/>
      </c>
      <c r="B41" s="10" t="str">
        <f aca="false">IF(A41="","",COUNTIFS(Statisztika!D:D,A41,Statisztika!C:C,"valasz"))</f>
        <v/>
      </c>
      <c r="C41" s="10" t="str">
        <f aca="false">IF(A41="","",COUNTIFS(Statisztika!D:D,A41,Statisztika!G:G,"NEM"))</f>
        <v/>
      </c>
      <c r="D41" s="11" t="str">
        <f aca="false">IF(OR(A41="",B41=0),"",C41/B41)</f>
        <v/>
      </c>
      <c r="E41" s="10" t="str">
        <f aca="false">IF(A41="","",Kartyak!D36)</f>
        <v/>
      </c>
    </row>
    <row r="42" customFormat="false" ht="15" hidden="false" customHeight="false" outlineLevel="0" collapsed="false">
      <c r="A42" s="10" t="str">
        <f aca="false">IF(Kartyak!A37="","",Kartyak!A37)</f>
        <v/>
      </c>
      <c r="B42" s="10" t="str">
        <f aca="false">IF(A42="","",COUNTIFS(Statisztika!D:D,A42,Statisztika!C:C,"valasz"))</f>
        <v/>
      </c>
      <c r="C42" s="10" t="str">
        <f aca="false">IF(A42="","",COUNTIFS(Statisztika!D:D,A42,Statisztika!G:G,"NEM"))</f>
        <v/>
      </c>
      <c r="D42" s="11" t="str">
        <f aca="false">IF(OR(A42="",B42=0),"",C42/B42)</f>
        <v/>
      </c>
      <c r="E42" s="10" t="str">
        <f aca="false">IF(A42="","",Kartyak!D37)</f>
        <v/>
      </c>
    </row>
    <row r="43" customFormat="false" ht="15" hidden="false" customHeight="false" outlineLevel="0" collapsed="false">
      <c r="A43" s="10" t="str">
        <f aca="false">IF(Kartyak!A38="","",Kartyak!A38)</f>
        <v/>
      </c>
      <c r="B43" s="10" t="str">
        <f aca="false">IF(A43="","",COUNTIFS(Statisztika!D:D,A43,Statisztika!C:C,"valasz"))</f>
        <v/>
      </c>
      <c r="C43" s="10" t="str">
        <f aca="false">IF(A43="","",COUNTIFS(Statisztika!D:D,A43,Statisztika!G:G,"NEM"))</f>
        <v/>
      </c>
      <c r="D43" s="11" t="str">
        <f aca="false">IF(OR(A43="",B43=0),"",C43/B43)</f>
        <v/>
      </c>
      <c r="E43" s="10" t="str">
        <f aca="false">IF(A43="","",Kartyak!D38)</f>
        <v/>
      </c>
    </row>
    <row r="44" customFormat="false" ht="15" hidden="false" customHeight="false" outlineLevel="0" collapsed="false">
      <c r="A44" s="10" t="str">
        <f aca="false">IF(Kartyak!A39="","",Kartyak!A39)</f>
        <v/>
      </c>
      <c r="B44" s="10" t="str">
        <f aca="false">IF(A44="","",COUNTIFS(Statisztika!D:D,A44,Statisztika!C:C,"valasz"))</f>
        <v/>
      </c>
      <c r="C44" s="10" t="str">
        <f aca="false">IF(A44="","",COUNTIFS(Statisztika!D:D,A44,Statisztika!G:G,"NEM"))</f>
        <v/>
      </c>
      <c r="D44" s="11" t="str">
        <f aca="false">IF(OR(A44="",B44=0),"",C44/B44)</f>
        <v/>
      </c>
      <c r="E44" s="10" t="str">
        <f aca="false">IF(A44="","",Kartyak!D39)</f>
        <v/>
      </c>
    </row>
    <row r="45" customFormat="false" ht="15" hidden="false" customHeight="false" outlineLevel="0" collapsed="false">
      <c r="A45" s="10" t="str">
        <f aca="false">IF(Kartyak!A40="","",Kartyak!A40)</f>
        <v/>
      </c>
      <c r="B45" s="10" t="str">
        <f aca="false">IF(A45="","",COUNTIFS(Statisztika!D:D,A45,Statisztika!C:C,"valasz"))</f>
        <v/>
      </c>
      <c r="C45" s="10" t="str">
        <f aca="false">IF(A45="","",COUNTIFS(Statisztika!D:D,A45,Statisztika!G:G,"NEM"))</f>
        <v/>
      </c>
      <c r="D45" s="11" t="str">
        <f aca="false">IF(OR(A45="",B45=0),"",C45/B45)</f>
        <v/>
      </c>
      <c r="E45" s="10" t="str">
        <f aca="false">IF(A45="","",Kartyak!D40)</f>
        <v/>
      </c>
    </row>
    <row r="46" customFormat="false" ht="15" hidden="false" customHeight="false" outlineLevel="0" collapsed="false">
      <c r="A46" s="10" t="str">
        <f aca="false">IF(Kartyak!A41="","",Kartyak!A41)</f>
        <v/>
      </c>
      <c r="B46" s="10" t="str">
        <f aca="false">IF(A46="","",COUNTIFS(Statisztika!D:D,A46,Statisztika!C:C,"valasz"))</f>
        <v/>
      </c>
      <c r="C46" s="10" t="str">
        <f aca="false">IF(A46="","",COUNTIFS(Statisztika!D:D,A46,Statisztika!G:G,"NEM"))</f>
        <v/>
      </c>
      <c r="D46" s="11" t="str">
        <f aca="false">IF(OR(A46="",B46=0),"",C46/B46)</f>
        <v/>
      </c>
      <c r="E46" s="10" t="str">
        <f aca="false">IF(A46="","",Kartyak!D41)</f>
        <v/>
      </c>
    </row>
    <row r="47" customFormat="false" ht="15" hidden="false" customHeight="false" outlineLevel="0" collapsed="false">
      <c r="A47" s="10" t="str">
        <f aca="false">IF(Kartyak!A42="","",Kartyak!A42)</f>
        <v/>
      </c>
      <c r="B47" s="10" t="str">
        <f aca="false">IF(A47="","",COUNTIFS(Statisztika!D:D,A47,Statisztika!C:C,"valasz"))</f>
        <v/>
      </c>
      <c r="C47" s="10" t="str">
        <f aca="false">IF(A47="","",COUNTIFS(Statisztika!D:D,A47,Statisztika!G:G,"NEM"))</f>
        <v/>
      </c>
      <c r="D47" s="11" t="str">
        <f aca="false">IF(OR(A47="",B47=0),"",C47/B47)</f>
        <v/>
      </c>
      <c r="E47" s="10" t="str">
        <f aca="false">IF(A47="","",Kartyak!D42)</f>
        <v/>
      </c>
    </row>
    <row r="48" customFormat="false" ht="15" hidden="false" customHeight="false" outlineLevel="0" collapsed="false">
      <c r="A48" s="10" t="str">
        <f aca="false">IF(Kartyak!A43="","",Kartyak!A43)</f>
        <v/>
      </c>
      <c r="B48" s="10" t="str">
        <f aca="false">IF(A48="","",COUNTIFS(Statisztika!D:D,A48,Statisztika!C:C,"valasz"))</f>
        <v/>
      </c>
      <c r="C48" s="10" t="str">
        <f aca="false">IF(A48="","",COUNTIFS(Statisztika!D:D,A48,Statisztika!G:G,"NEM"))</f>
        <v/>
      </c>
      <c r="D48" s="11" t="str">
        <f aca="false">IF(OR(A48="",B48=0),"",C48/B48)</f>
        <v/>
      </c>
      <c r="E48" s="10" t="str">
        <f aca="false">IF(A48="","",Kartyak!D43)</f>
        <v/>
      </c>
    </row>
    <row r="49" customFormat="false" ht="15" hidden="false" customHeight="false" outlineLevel="0" collapsed="false">
      <c r="A49" s="10" t="str">
        <f aca="false">IF(Kartyak!A44="","",Kartyak!A44)</f>
        <v/>
      </c>
      <c r="B49" s="10" t="str">
        <f aca="false">IF(A49="","",COUNTIFS(Statisztika!D:D,A49,Statisztika!C:C,"valasz"))</f>
        <v/>
      </c>
      <c r="C49" s="10" t="str">
        <f aca="false">IF(A49="","",COUNTIFS(Statisztika!D:D,A49,Statisztika!G:G,"NEM"))</f>
        <v/>
      </c>
      <c r="D49" s="11" t="str">
        <f aca="false">IF(OR(A49="",B49=0),"",C49/B49)</f>
        <v/>
      </c>
      <c r="E49" s="10" t="str">
        <f aca="false">IF(A49="","",Kartyak!D44)</f>
        <v/>
      </c>
    </row>
    <row r="50" customFormat="false" ht="15" hidden="false" customHeight="false" outlineLevel="0" collapsed="false">
      <c r="A50" s="10" t="str">
        <f aca="false">IF(Kartyak!A45="","",Kartyak!A45)</f>
        <v/>
      </c>
      <c r="B50" s="10" t="str">
        <f aca="false">IF(A50="","",COUNTIFS(Statisztika!D:D,A50,Statisztika!C:C,"valasz"))</f>
        <v/>
      </c>
      <c r="C50" s="10" t="str">
        <f aca="false">IF(A50="","",COUNTIFS(Statisztika!D:D,A50,Statisztika!G:G,"NEM"))</f>
        <v/>
      </c>
      <c r="D50" s="11" t="str">
        <f aca="false">IF(OR(A50="",B50=0),"",C50/B50)</f>
        <v/>
      </c>
      <c r="E50" s="10" t="str">
        <f aca="false">IF(A50="","",Kartyak!D45)</f>
        <v/>
      </c>
    </row>
    <row r="51" customFormat="false" ht="15" hidden="false" customHeight="false" outlineLevel="0" collapsed="false">
      <c r="A51" s="10" t="str">
        <f aca="false">IF(Kartyak!A46="","",Kartyak!A46)</f>
        <v/>
      </c>
      <c r="B51" s="10" t="str">
        <f aca="false">IF(A51="","",COUNTIFS(Statisztika!D:D,A51,Statisztika!C:C,"valasz"))</f>
        <v/>
      </c>
      <c r="C51" s="10" t="str">
        <f aca="false">IF(A51="","",COUNTIFS(Statisztika!D:D,A51,Statisztika!G:G,"NEM"))</f>
        <v/>
      </c>
      <c r="D51" s="11" t="str">
        <f aca="false">IF(OR(A51="",B51=0),"",C51/B51)</f>
        <v/>
      </c>
      <c r="E51" s="10" t="str">
        <f aca="false">IF(A51="","",Kartyak!D46)</f>
        <v/>
      </c>
    </row>
    <row r="52" customFormat="false" ht="15" hidden="false" customHeight="false" outlineLevel="0" collapsed="false">
      <c r="A52" s="10" t="str">
        <f aca="false">IF(Kartyak!A47="","",Kartyak!A47)</f>
        <v/>
      </c>
      <c r="B52" s="10" t="str">
        <f aca="false">IF(A52="","",COUNTIFS(Statisztika!D:D,A52,Statisztika!C:C,"valasz"))</f>
        <v/>
      </c>
      <c r="C52" s="10" t="str">
        <f aca="false">IF(A52="","",COUNTIFS(Statisztika!D:D,A52,Statisztika!G:G,"NEM"))</f>
        <v/>
      </c>
      <c r="D52" s="11" t="str">
        <f aca="false">IF(OR(A52="",B52=0),"",C52/B52)</f>
        <v/>
      </c>
      <c r="E52" s="10" t="str">
        <f aca="false">IF(A52="","",Kartyak!D47)</f>
        <v/>
      </c>
    </row>
    <row r="53" customFormat="false" ht="15" hidden="false" customHeight="false" outlineLevel="0" collapsed="false">
      <c r="A53" s="10" t="str">
        <f aca="false">IF(Kartyak!A48="","",Kartyak!A48)</f>
        <v/>
      </c>
      <c r="B53" s="10" t="str">
        <f aca="false">IF(A53="","",COUNTIFS(Statisztika!D:D,A53,Statisztika!C:C,"valasz"))</f>
        <v/>
      </c>
      <c r="C53" s="10" t="str">
        <f aca="false">IF(A53="","",COUNTIFS(Statisztika!D:D,A53,Statisztika!G:G,"NEM"))</f>
        <v/>
      </c>
      <c r="D53" s="11" t="str">
        <f aca="false">IF(OR(A53="",B53=0),"",C53/B53)</f>
        <v/>
      </c>
      <c r="E53" s="10" t="str">
        <f aca="false">IF(A53="","",Kartyak!D48)</f>
        <v/>
      </c>
    </row>
    <row r="54" customFormat="false" ht="15" hidden="false" customHeight="false" outlineLevel="0" collapsed="false">
      <c r="A54" s="10" t="str">
        <f aca="false">IF(Kartyak!A49="","",Kartyak!A49)</f>
        <v/>
      </c>
      <c r="B54" s="10" t="str">
        <f aca="false">IF(A54="","",COUNTIFS(Statisztika!D:D,A54,Statisztika!C:C,"valasz"))</f>
        <v/>
      </c>
      <c r="C54" s="10" t="str">
        <f aca="false">IF(A54="","",COUNTIFS(Statisztika!D:D,A54,Statisztika!G:G,"NEM"))</f>
        <v/>
      </c>
      <c r="D54" s="11" t="str">
        <f aca="false">IF(OR(A54="",B54=0),"",C54/B54)</f>
        <v/>
      </c>
      <c r="E54" s="10" t="str">
        <f aca="false">IF(A54="","",Kartyak!D49)</f>
        <v/>
      </c>
    </row>
    <row r="55" customFormat="false" ht="15" hidden="false" customHeight="false" outlineLevel="0" collapsed="false">
      <c r="A55" s="10" t="str">
        <f aca="false">IF(Kartyak!A50="","",Kartyak!A50)</f>
        <v/>
      </c>
      <c r="B55" s="10" t="str">
        <f aca="false">IF(A55="","",COUNTIFS(Statisztika!D:D,A55,Statisztika!C:C,"valasz"))</f>
        <v/>
      </c>
      <c r="C55" s="10" t="str">
        <f aca="false">IF(A55="","",COUNTIFS(Statisztika!D:D,A55,Statisztika!G:G,"NEM"))</f>
        <v/>
      </c>
      <c r="D55" s="11" t="str">
        <f aca="false">IF(OR(A55="",B55=0),"",C55/B55)</f>
        <v/>
      </c>
      <c r="E55" s="10" t="str">
        <f aca="false">IF(A55="","",Kartyak!D50)</f>
        <v/>
      </c>
    </row>
    <row r="56" customFormat="false" ht="15" hidden="false" customHeight="false" outlineLevel="0" collapsed="false">
      <c r="A56" s="10" t="str">
        <f aca="false">IF(Kartyak!A51="","",Kartyak!A51)</f>
        <v/>
      </c>
      <c r="B56" s="10" t="str">
        <f aca="false">IF(A56="","",COUNTIFS(Statisztika!D:D,A56,Statisztika!C:C,"valasz"))</f>
        <v/>
      </c>
      <c r="C56" s="10" t="str">
        <f aca="false">IF(A56="","",COUNTIFS(Statisztika!D:D,A56,Statisztika!G:G,"NEM"))</f>
        <v/>
      </c>
      <c r="D56" s="11" t="str">
        <f aca="false">IF(OR(A56="",B56=0),"",C56/B56)</f>
        <v/>
      </c>
      <c r="E56" s="10" t="str">
        <f aca="false">IF(A56="","",Kartyak!D51)</f>
        <v/>
      </c>
    </row>
    <row r="57" customFormat="false" ht="15" hidden="false" customHeight="false" outlineLevel="0" collapsed="false">
      <c r="A57" s="10" t="str">
        <f aca="false">IF(Kartyak!A52="","",Kartyak!A52)</f>
        <v/>
      </c>
      <c r="B57" s="10" t="str">
        <f aca="false">IF(A57="","",COUNTIFS(Statisztika!D:D,A57,Statisztika!C:C,"valasz"))</f>
        <v/>
      </c>
      <c r="C57" s="10" t="str">
        <f aca="false">IF(A57="","",COUNTIFS(Statisztika!D:D,A57,Statisztika!G:G,"NEM"))</f>
        <v/>
      </c>
      <c r="D57" s="11" t="str">
        <f aca="false">IF(OR(A57="",B57=0),"",C57/B57)</f>
        <v/>
      </c>
      <c r="E57" s="10" t="str">
        <f aca="false">IF(A57="","",Kartyak!D52)</f>
        <v/>
      </c>
    </row>
    <row r="58" customFormat="false" ht="15" hidden="false" customHeight="false" outlineLevel="0" collapsed="false">
      <c r="A58" s="10" t="str">
        <f aca="false">IF(Kartyak!A53="","",Kartyak!A53)</f>
        <v/>
      </c>
      <c r="B58" s="10" t="str">
        <f aca="false">IF(A58="","",COUNTIFS(Statisztika!D:D,A58,Statisztika!C:C,"valasz"))</f>
        <v/>
      </c>
      <c r="C58" s="10" t="str">
        <f aca="false">IF(A58="","",COUNTIFS(Statisztika!D:D,A58,Statisztika!G:G,"NEM"))</f>
        <v/>
      </c>
      <c r="D58" s="11" t="str">
        <f aca="false">IF(OR(A58="",B58=0),"",C58/B58)</f>
        <v/>
      </c>
      <c r="E58" s="10" t="str">
        <f aca="false">IF(A58="","",Kartyak!D53)</f>
        <v/>
      </c>
    </row>
    <row r="59" customFormat="false" ht="15" hidden="false" customHeight="false" outlineLevel="0" collapsed="false">
      <c r="A59" s="10" t="str">
        <f aca="false">IF(Kartyak!A54="","",Kartyak!A54)</f>
        <v/>
      </c>
      <c r="B59" s="10" t="str">
        <f aca="false">IF(A59="","",COUNTIFS(Statisztika!D:D,A59,Statisztika!C:C,"valasz"))</f>
        <v/>
      </c>
      <c r="C59" s="10" t="str">
        <f aca="false">IF(A59="","",COUNTIFS(Statisztika!D:D,A59,Statisztika!G:G,"NEM"))</f>
        <v/>
      </c>
      <c r="D59" s="11" t="str">
        <f aca="false">IF(OR(A59="",B59=0),"",C59/B59)</f>
        <v/>
      </c>
      <c r="E59" s="10" t="str">
        <f aca="false">IF(A59="","",Kartyak!D54)</f>
        <v/>
      </c>
    </row>
    <row r="60" customFormat="false" ht="15" hidden="false" customHeight="false" outlineLevel="0" collapsed="false">
      <c r="A60" s="10" t="str">
        <f aca="false">IF(Kartyak!A55="","",Kartyak!A55)</f>
        <v/>
      </c>
      <c r="B60" s="10" t="str">
        <f aca="false">IF(A60="","",COUNTIFS(Statisztika!D:D,A60,Statisztika!C:C,"valasz"))</f>
        <v/>
      </c>
      <c r="C60" s="10" t="str">
        <f aca="false">IF(A60="","",COUNTIFS(Statisztika!D:D,A60,Statisztika!G:G,"NEM"))</f>
        <v/>
      </c>
      <c r="D60" s="11" t="str">
        <f aca="false">IF(OR(A60="",B60=0),"",C60/B60)</f>
        <v/>
      </c>
      <c r="E60" s="10" t="str">
        <f aca="false">IF(A60="","",Kartyak!D55)</f>
        <v/>
      </c>
    </row>
    <row r="61" customFormat="false" ht="15" hidden="false" customHeight="false" outlineLevel="0" collapsed="false">
      <c r="A61" s="10" t="str">
        <f aca="false">IF(Kartyak!A56="","",Kartyak!A56)</f>
        <v/>
      </c>
      <c r="B61" s="10" t="str">
        <f aca="false">IF(A61="","",COUNTIFS(Statisztika!D:D,A61,Statisztika!C:C,"valasz"))</f>
        <v/>
      </c>
      <c r="C61" s="10" t="str">
        <f aca="false">IF(A61="","",COUNTIFS(Statisztika!D:D,A61,Statisztika!G:G,"NEM"))</f>
        <v/>
      </c>
      <c r="D61" s="11" t="str">
        <f aca="false">IF(OR(A61="",B61=0),"",C61/B61)</f>
        <v/>
      </c>
      <c r="E61" s="10" t="str">
        <f aca="false">IF(A61="","",Kartyak!D56)</f>
        <v/>
      </c>
    </row>
    <row r="62" customFormat="false" ht="15" hidden="false" customHeight="false" outlineLevel="0" collapsed="false">
      <c r="A62" s="10" t="str">
        <f aca="false">IF(Kartyak!A57="","",Kartyak!A57)</f>
        <v/>
      </c>
      <c r="B62" s="10" t="str">
        <f aca="false">IF(A62="","",COUNTIFS(Statisztika!D:D,A62,Statisztika!C:C,"valasz"))</f>
        <v/>
      </c>
      <c r="C62" s="10" t="str">
        <f aca="false">IF(A62="","",COUNTIFS(Statisztika!D:D,A62,Statisztika!G:G,"NEM"))</f>
        <v/>
      </c>
      <c r="D62" s="11" t="str">
        <f aca="false">IF(OR(A62="",B62=0),"",C62/B62)</f>
        <v/>
      </c>
      <c r="E62" s="10" t="str">
        <f aca="false">IF(A62="","",Kartyak!D57)</f>
        <v/>
      </c>
    </row>
    <row r="63" customFormat="false" ht="15" hidden="false" customHeight="false" outlineLevel="0" collapsed="false">
      <c r="A63" s="10" t="str">
        <f aca="false">IF(Kartyak!A58="","",Kartyak!A58)</f>
        <v/>
      </c>
      <c r="B63" s="10" t="str">
        <f aca="false">IF(A63="","",COUNTIFS(Statisztika!D:D,A63,Statisztika!C:C,"valasz"))</f>
        <v/>
      </c>
      <c r="C63" s="10" t="str">
        <f aca="false">IF(A63="","",COUNTIFS(Statisztika!D:D,A63,Statisztika!G:G,"NEM"))</f>
        <v/>
      </c>
      <c r="D63" s="11" t="str">
        <f aca="false">IF(OR(A63="",B63=0),"",C63/B63)</f>
        <v/>
      </c>
      <c r="E63" s="10" t="str">
        <f aca="false">IF(A63="","",Kartyak!D58)</f>
        <v/>
      </c>
    </row>
    <row r="64" customFormat="false" ht="15" hidden="false" customHeight="false" outlineLevel="0" collapsed="false">
      <c r="A64" s="10" t="str">
        <f aca="false">IF(Kartyak!A59="","",Kartyak!A59)</f>
        <v/>
      </c>
      <c r="B64" s="10" t="str">
        <f aca="false">IF(A64="","",COUNTIFS(Statisztika!D:D,A64,Statisztika!C:C,"valasz"))</f>
        <v/>
      </c>
      <c r="C64" s="10" t="str">
        <f aca="false">IF(A64="","",COUNTIFS(Statisztika!D:D,A64,Statisztika!G:G,"NEM"))</f>
        <v/>
      </c>
      <c r="D64" s="11" t="str">
        <f aca="false">IF(OR(A64="",B64=0),"",C64/B64)</f>
        <v/>
      </c>
      <c r="E64" s="10" t="str">
        <f aca="false">IF(A64="","",Kartyak!D59)</f>
        <v/>
      </c>
    </row>
    <row r="65" customFormat="false" ht="15" hidden="false" customHeight="false" outlineLevel="0" collapsed="false">
      <c r="A65" s="10" t="str">
        <f aca="false">IF(Kartyak!A60="","",Kartyak!A60)</f>
        <v/>
      </c>
      <c r="B65" s="10" t="str">
        <f aca="false">IF(A65="","",COUNTIFS(Statisztika!D:D,A65,Statisztika!C:C,"valasz"))</f>
        <v/>
      </c>
      <c r="C65" s="10" t="str">
        <f aca="false">IF(A65="","",COUNTIFS(Statisztika!D:D,A65,Statisztika!G:G,"NEM"))</f>
        <v/>
      </c>
      <c r="D65" s="11" t="str">
        <f aca="false">IF(OR(A65="",B65=0),"",C65/B65)</f>
        <v/>
      </c>
      <c r="E65" s="10" t="str">
        <f aca="false">IF(A65="","",Kartyak!D60)</f>
        <v/>
      </c>
    </row>
    <row r="66" customFormat="false" ht="15" hidden="false" customHeight="false" outlineLevel="0" collapsed="false">
      <c r="A66" s="10" t="str">
        <f aca="false">IF(Kartyak!A61="","",Kartyak!A61)</f>
        <v/>
      </c>
      <c r="B66" s="10" t="str">
        <f aca="false">IF(A66="","",COUNTIFS(Statisztika!D:D,A66,Statisztika!C:C,"valasz"))</f>
        <v/>
      </c>
      <c r="C66" s="10" t="str">
        <f aca="false">IF(A66="","",COUNTIFS(Statisztika!D:D,A66,Statisztika!G:G,"NEM"))</f>
        <v/>
      </c>
      <c r="D66" s="11" t="str">
        <f aca="false">IF(OR(A66="",B66=0),"",C66/B66)</f>
        <v/>
      </c>
      <c r="E66" s="10" t="str">
        <f aca="false">IF(A66="","",Kartyak!D61)</f>
        <v/>
      </c>
    </row>
    <row r="67" customFormat="false" ht="15" hidden="false" customHeight="false" outlineLevel="0" collapsed="false">
      <c r="A67" s="10" t="str">
        <f aca="false">IF(Kartyak!A62="","",Kartyak!A62)</f>
        <v/>
      </c>
      <c r="B67" s="10" t="str">
        <f aca="false">IF(A67="","",COUNTIFS(Statisztika!D:D,A67,Statisztika!C:C,"valasz"))</f>
        <v/>
      </c>
      <c r="C67" s="10" t="str">
        <f aca="false">IF(A67="","",COUNTIFS(Statisztika!D:D,A67,Statisztika!G:G,"NEM"))</f>
        <v/>
      </c>
      <c r="D67" s="11" t="str">
        <f aca="false">IF(OR(A67="",B67=0),"",C67/B67)</f>
        <v/>
      </c>
      <c r="E67" s="10" t="str">
        <f aca="false">IF(A67="","",Kartyak!D62)</f>
        <v/>
      </c>
    </row>
    <row r="68" customFormat="false" ht="15" hidden="false" customHeight="false" outlineLevel="0" collapsed="false">
      <c r="A68" s="10" t="str">
        <f aca="false">IF(Kartyak!A63="","",Kartyak!A63)</f>
        <v/>
      </c>
      <c r="B68" s="10" t="str">
        <f aca="false">IF(A68="","",COUNTIFS(Statisztika!D:D,A68,Statisztika!C:C,"valasz"))</f>
        <v/>
      </c>
      <c r="C68" s="10" t="str">
        <f aca="false">IF(A68="","",COUNTIFS(Statisztika!D:D,A68,Statisztika!G:G,"NEM"))</f>
        <v/>
      </c>
      <c r="D68" s="11" t="str">
        <f aca="false">IF(OR(A68="",B68=0),"",C68/B68)</f>
        <v/>
      </c>
      <c r="E68" s="10" t="str">
        <f aca="false">IF(A68="","",Kartyak!D63)</f>
        <v/>
      </c>
    </row>
    <row r="69" customFormat="false" ht="15" hidden="false" customHeight="false" outlineLevel="0" collapsed="false">
      <c r="A69" s="10" t="str">
        <f aca="false">IF(Kartyak!A64="","",Kartyak!A64)</f>
        <v/>
      </c>
      <c r="B69" s="10" t="str">
        <f aca="false">IF(A69="","",COUNTIFS(Statisztika!D:D,A69,Statisztika!C:C,"valasz"))</f>
        <v/>
      </c>
      <c r="C69" s="10" t="str">
        <f aca="false">IF(A69="","",COUNTIFS(Statisztika!D:D,A69,Statisztika!G:G,"NEM"))</f>
        <v/>
      </c>
      <c r="D69" s="11" t="str">
        <f aca="false">IF(OR(A69="",B69=0),"",C69/B69)</f>
        <v/>
      </c>
      <c r="E69" s="10" t="str">
        <f aca="false">IF(A69="","",Kartyak!D64)</f>
        <v/>
      </c>
    </row>
    <row r="70" customFormat="false" ht="15" hidden="false" customHeight="false" outlineLevel="0" collapsed="false">
      <c r="A70" s="10" t="str">
        <f aca="false">IF(Kartyak!A65="","",Kartyak!A65)</f>
        <v/>
      </c>
      <c r="B70" s="10" t="str">
        <f aca="false">IF(A70="","",COUNTIFS(Statisztika!D:D,A70,Statisztika!C:C,"valasz"))</f>
        <v/>
      </c>
      <c r="C70" s="10" t="str">
        <f aca="false">IF(A70="","",COUNTIFS(Statisztika!D:D,A70,Statisztika!G:G,"NEM"))</f>
        <v/>
      </c>
      <c r="D70" s="11" t="str">
        <f aca="false">IF(OR(A70="",B70=0),"",C70/B70)</f>
        <v/>
      </c>
      <c r="E70" s="10" t="str">
        <f aca="false">IF(A70="","",Kartyak!D65)</f>
        <v/>
      </c>
    </row>
    <row r="71" customFormat="false" ht="15" hidden="false" customHeight="false" outlineLevel="0" collapsed="false">
      <c r="A71" s="10" t="str">
        <f aca="false">IF(Kartyak!A66="","",Kartyak!A66)</f>
        <v/>
      </c>
      <c r="B71" s="10" t="str">
        <f aca="false">IF(A71="","",COUNTIFS(Statisztika!D:D,A71,Statisztika!C:C,"valasz"))</f>
        <v/>
      </c>
      <c r="C71" s="10" t="str">
        <f aca="false">IF(A71="","",COUNTIFS(Statisztika!D:D,A71,Statisztika!G:G,"NEM"))</f>
        <v/>
      </c>
      <c r="D71" s="11" t="str">
        <f aca="false">IF(OR(A71="",B71=0),"",C71/B71)</f>
        <v/>
      </c>
      <c r="E71" s="10" t="str">
        <f aca="false">IF(A71="","",Kartyak!D66)</f>
        <v/>
      </c>
    </row>
    <row r="72" customFormat="false" ht="15" hidden="false" customHeight="false" outlineLevel="0" collapsed="false">
      <c r="A72" s="10" t="str">
        <f aca="false">IF(Kartyak!A67="","",Kartyak!A67)</f>
        <v/>
      </c>
      <c r="B72" s="10" t="str">
        <f aca="false">IF(A72="","",COUNTIFS(Statisztika!D:D,A72,Statisztika!C:C,"valasz"))</f>
        <v/>
      </c>
      <c r="C72" s="10" t="str">
        <f aca="false">IF(A72="","",COUNTIFS(Statisztika!D:D,A72,Statisztika!G:G,"NEM"))</f>
        <v/>
      </c>
      <c r="D72" s="11" t="str">
        <f aca="false">IF(OR(A72="",B72=0),"",C72/B72)</f>
        <v/>
      </c>
      <c r="E72" s="10" t="str">
        <f aca="false">IF(A72="","",Kartyak!D67)</f>
        <v/>
      </c>
    </row>
    <row r="73" customFormat="false" ht="15" hidden="false" customHeight="false" outlineLevel="0" collapsed="false">
      <c r="A73" s="10" t="str">
        <f aca="false">IF(Kartyak!A68="","",Kartyak!A68)</f>
        <v/>
      </c>
      <c r="B73" s="10" t="str">
        <f aca="false">IF(A73="","",COUNTIFS(Statisztika!D:D,A73,Statisztika!C:C,"valasz"))</f>
        <v/>
      </c>
      <c r="C73" s="10" t="str">
        <f aca="false">IF(A73="","",COUNTIFS(Statisztika!D:D,A73,Statisztika!G:G,"NEM"))</f>
        <v/>
      </c>
      <c r="D73" s="11" t="str">
        <f aca="false">IF(OR(A73="",B73=0),"",C73/B73)</f>
        <v/>
      </c>
      <c r="E73" s="10" t="str">
        <f aca="false">IF(A73="","",Kartyak!D68)</f>
        <v/>
      </c>
    </row>
    <row r="74" customFormat="false" ht="15" hidden="false" customHeight="false" outlineLevel="0" collapsed="false">
      <c r="A74" s="10" t="str">
        <f aca="false">IF(Kartyak!A69="","",Kartyak!A69)</f>
        <v/>
      </c>
      <c r="B74" s="10" t="str">
        <f aca="false">IF(A74="","",COUNTIFS(Statisztika!D:D,A74,Statisztika!C:C,"valasz"))</f>
        <v/>
      </c>
      <c r="C74" s="10" t="str">
        <f aca="false">IF(A74="","",COUNTIFS(Statisztika!D:D,A74,Statisztika!G:G,"NEM"))</f>
        <v/>
      </c>
      <c r="D74" s="11" t="str">
        <f aca="false">IF(OR(A74="",B74=0),"",C74/B74)</f>
        <v/>
      </c>
      <c r="E74" s="10" t="str">
        <f aca="false">IF(A74="","",Kartyak!D69)</f>
        <v/>
      </c>
    </row>
    <row r="75" customFormat="false" ht="15" hidden="false" customHeight="false" outlineLevel="0" collapsed="false">
      <c r="A75" s="10" t="str">
        <f aca="false">IF(Kartyak!A70="","",Kartyak!A70)</f>
        <v/>
      </c>
      <c r="B75" s="10" t="str">
        <f aca="false">IF(A75="","",COUNTIFS(Statisztika!D:D,A75,Statisztika!C:C,"valasz"))</f>
        <v/>
      </c>
      <c r="C75" s="10" t="str">
        <f aca="false">IF(A75="","",COUNTIFS(Statisztika!D:D,A75,Statisztika!G:G,"NEM"))</f>
        <v/>
      </c>
      <c r="D75" s="11" t="str">
        <f aca="false">IF(OR(A75="",B75=0),"",C75/B75)</f>
        <v/>
      </c>
      <c r="E75" s="10" t="str">
        <f aca="false">IF(A75="","",Kartyak!D70)</f>
        <v/>
      </c>
    </row>
    <row r="76" customFormat="false" ht="15" hidden="false" customHeight="false" outlineLevel="0" collapsed="false">
      <c r="A76" s="10" t="str">
        <f aca="false">IF(Kartyak!A71="","",Kartyak!A71)</f>
        <v/>
      </c>
      <c r="B76" s="10" t="str">
        <f aca="false">IF(A76="","",COUNTIFS(Statisztika!D:D,A76,Statisztika!C:C,"valasz"))</f>
        <v/>
      </c>
      <c r="C76" s="10" t="str">
        <f aca="false">IF(A76="","",COUNTIFS(Statisztika!D:D,A76,Statisztika!G:G,"NEM"))</f>
        <v/>
      </c>
      <c r="D76" s="11" t="str">
        <f aca="false">IF(OR(A76="",B76=0),"",C76/B76)</f>
        <v/>
      </c>
      <c r="E76" s="10" t="str">
        <f aca="false">IF(A76="","",Kartyak!D71)</f>
        <v/>
      </c>
    </row>
    <row r="77" customFormat="false" ht="15" hidden="false" customHeight="false" outlineLevel="0" collapsed="false">
      <c r="A77" s="10" t="str">
        <f aca="false">IF(Kartyak!A72="","",Kartyak!A72)</f>
        <v/>
      </c>
      <c r="B77" s="10" t="str">
        <f aca="false">IF(A77="","",COUNTIFS(Statisztika!D:D,A77,Statisztika!C:C,"valasz"))</f>
        <v/>
      </c>
      <c r="C77" s="10" t="str">
        <f aca="false">IF(A77="","",COUNTIFS(Statisztika!D:D,A77,Statisztika!G:G,"NEM"))</f>
        <v/>
      </c>
      <c r="D77" s="11" t="str">
        <f aca="false">IF(OR(A77="",B77=0),"",C77/B77)</f>
        <v/>
      </c>
      <c r="E77" s="10" t="str">
        <f aca="false">IF(A77="","",Kartyak!D72)</f>
        <v/>
      </c>
    </row>
    <row r="78" customFormat="false" ht="15" hidden="false" customHeight="false" outlineLevel="0" collapsed="false">
      <c r="A78" s="10" t="str">
        <f aca="false">IF(Kartyak!A73="","",Kartyak!A73)</f>
        <v/>
      </c>
      <c r="B78" s="10" t="str">
        <f aca="false">IF(A78="","",COUNTIFS(Statisztika!D:D,A78,Statisztika!C:C,"valasz"))</f>
        <v/>
      </c>
      <c r="C78" s="10" t="str">
        <f aca="false">IF(A78="","",COUNTIFS(Statisztika!D:D,A78,Statisztika!G:G,"NEM"))</f>
        <v/>
      </c>
      <c r="D78" s="11" t="str">
        <f aca="false">IF(OR(A78="",B78=0),"",C78/B78)</f>
        <v/>
      </c>
      <c r="E78" s="10" t="str">
        <f aca="false">IF(A78="","",Kartyak!D73)</f>
        <v/>
      </c>
    </row>
    <row r="79" customFormat="false" ht="15" hidden="false" customHeight="false" outlineLevel="0" collapsed="false">
      <c r="A79" s="10" t="str">
        <f aca="false">IF(Kartyak!A74="","",Kartyak!A74)</f>
        <v/>
      </c>
      <c r="B79" s="10" t="str">
        <f aca="false">IF(A79="","",COUNTIFS(Statisztika!D:D,A79,Statisztika!C:C,"valasz"))</f>
        <v/>
      </c>
      <c r="C79" s="10" t="str">
        <f aca="false">IF(A79="","",COUNTIFS(Statisztika!D:D,A79,Statisztika!G:G,"NEM"))</f>
        <v/>
      </c>
      <c r="D79" s="11" t="str">
        <f aca="false">IF(OR(A79="",B79=0),"",C79/B79)</f>
        <v/>
      </c>
      <c r="E79" s="10" t="str">
        <f aca="false">IF(A79="","",Kartyak!D74)</f>
        <v/>
      </c>
    </row>
    <row r="80" customFormat="false" ht="15" hidden="false" customHeight="false" outlineLevel="0" collapsed="false">
      <c r="A80" s="10" t="str">
        <f aca="false">IF(Kartyak!A75="","",Kartyak!A75)</f>
        <v/>
      </c>
      <c r="B80" s="10" t="str">
        <f aca="false">IF(A80="","",COUNTIFS(Statisztika!D:D,A80,Statisztika!C:C,"valasz"))</f>
        <v/>
      </c>
      <c r="C80" s="10" t="str">
        <f aca="false">IF(A80="","",COUNTIFS(Statisztika!D:D,A80,Statisztika!G:G,"NEM"))</f>
        <v/>
      </c>
      <c r="D80" s="11" t="str">
        <f aca="false">IF(OR(A80="",B80=0),"",C80/B80)</f>
        <v/>
      </c>
      <c r="E80" s="10" t="str">
        <f aca="false">IF(A80="","",Kartyak!D75)</f>
        <v/>
      </c>
    </row>
    <row r="81" customFormat="false" ht="15" hidden="false" customHeight="false" outlineLevel="0" collapsed="false">
      <c r="A81" s="10" t="str">
        <f aca="false">IF(Kartyak!A76="","",Kartyak!A76)</f>
        <v/>
      </c>
      <c r="B81" s="10" t="str">
        <f aca="false">IF(A81="","",COUNTIFS(Statisztika!D:D,A81,Statisztika!C:C,"valasz"))</f>
        <v/>
      </c>
      <c r="C81" s="10" t="str">
        <f aca="false">IF(A81="","",COUNTIFS(Statisztika!D:D,A81,Statisztika!G:G,"NEM"))</f>
        <v/>
      </c>
      <c r="D81" s="11" t="str">
        <f aca="false">IF(OR(A81="",B81=0),"",C81/B81)</f>
        <v/>
      </c>
      <c r="E81" s="10" t="str">
        <f aca="false">IF(A81="","",Kartyak!D76)</f>
        <v/>
      </c>
    </row>
    <row r="82" customFormat="false" ht="15" hidden="false" customHeight="false" outlineLevel="0" collapsed="false">
      <c r="A82" s="10" t="str">
        <f aca="false">IF(Kartyak!A77="","",Kartyak!A77)</f>
        <v/>
      </c>
      <c r="B82" s="10" t="str">
        <f aca="false">IF(A82="","",COUNTIFS(Statisztika!D:D,A82,Statisztika!C:C,"valasz"))</f>
        <v/>
      </c>
      <c r="C82" s="10" t="str">
        <f aca="false">IF(A82="","",COUNTIFS(Statisztika!D:D,A82,Statisztika!G:G,"NEM"))</f>
        <v/>
      </c>
      <c r="D82" s="11" t="str">
        <f aca="false">IF(OR(A82="",B82=0),"",C82/B82)</f>
        <v/>
      </c>
      <c r="E82" s="10" t="str">
        <f aca="false">IF(A82="","",Kartyak!D77)</f>
        <v/>
      </c>
    </row>
    <row r="83" customFormat="false" ht="15" hidden="false" customHeight="false" outlineLevel="0" collapsed="false">
      <c r="A83" s="10" t="str">
        <f aca="false">IF(Kartyak!A78="","",Kartyak!A78)</f>
        <v/>
      </c>
      <c r="B83" s="10" t="str">
        <f aca="false">IF(A83="","",COUNTIFS(Statisztika!D:D,A83,Statisztika!C:C,"valasz"))</f>
        <v/>
      </c>
      <c r="C83" s="10" t="str">
        <f aca="false">IF(A83="","",COUNTIFS(Statisztika!D:D,A83,Statisztika!G:G,"NEM"))</f>
        <v/>
      </c>
      <c r="D83" s="11" t="str">
        <f aca="false">IF(OR(A83="",B83=0),"",C83/B83)</f>
        <v/>
      </c>
      <c r="E83" s="10" t="str">
        <f aca="false">IF(A83="","",Kartyak!D78)</f>
        <v/>
      </c>
    </row>
    <row r="84" customFormat="false" ht="15" hidden="false" customHeight="false" outlineLevel="0" collapsed="false">
      <c r="A84" s="10" t="str">
        <f aca="false">IF(Kartyak!A79="","",Kartyak!A79)</f>
        <v/>
      </c>
      <c r="B84" s="10" t="str">
        <f aca="false">IF(A84="","",COUNTIFS(Statisztika!D:D,A84,Statisztika!C:C,"valasz"))</f>
        <v/>
      </c>
      <c r="C84" s="10" t="str">
        <f aca="false">IF(A84="","",COUNTIFS(Statisztika!D:D,A84,Statisztika!G:G,"NEM"))</f>
        <v/>
      </c>
      <c r="D84" s="11" t="str">
        <f aca="false">IF(OR(A84="",B84=0),"",C84/B84)</f>
        <v/>
      </c>
      <c r="E84" s="10" t="str">
        <f aca="false">IF(A84="","",Kartyak!D79)</f>
        <v/>
      </c>
    </row>
    <row r="85" customFormat="false" ht="15" hidden="false" customHeight="false" outlineLevel="0" collapsed="false">
      <c r="A85" s="10" t="str">
        <f aca="false">IF(Kartyak!A80="","",Kartyak!A80)</f>
        <v/>
      </c>
      <c r="B85" s="10" t="str">
        <f aca="false">IF(A85="","",COUNTIFS(Statisztika!D:D,A85,Statisztika!C:C,"valasz"))</f>
        <v/>
      </c>
      <c r="C85" s="10" t="str">
        <f aca="false">IF(A85="","",COUNTIFS(Statisztika!D:D,A85,Statisztika!G:G,"NEM"))</f>
        <v/>
      </c>
      <c r="D85" s="11" t="str">
        <f aca="false">IF(OR(A85="",B85=0),"",C85/B85)</f>
        <v/>
      </c>
      <c r="E85" s="10" t="str">
        <f aca="false">IF(A85="","",Kartyak!D80)</f>
        <v/>
      </c>
    </row>
    <row r="86" customFormat="false" ht="15" hidden="false" customHeight="false" outlineLevel="0" collapsed="false">
      <c r="A86" s="10" t="str">
        <f aca="false">IF(Kartyak!A81="","",Kartyak!A81)</f>
        <v/>
      </c>
      <c r="B86" s="10" t="str">
        <f aca="false">IF(A86="","",COUNTIFS(Statisztika!D:D,A86,Statisztika!C:C,"valasz"))</f>
        <v/>
      </c>
      <c r="C86" s="10" t="str">
        <f aca="false">IF(A86="","",COUNTIFS(Statisztika!D:D,A86,Statisztika!G:G,"NEM"))</f>
        <v/>
      </c>
      <c r="D86" s="11" t="str">
        <f aca="false">IF(OR(A86="",B86=0),"",C86/B86)</f>
        <v/>
      </c>
      <c r="E86" s="10" t="str">
        <f aca="false">IF(A86="","",Kartyak!D81)</f>
        <v/>
      </c>
    </row>
    <row r="87" customFormat="false" ht="15" hidden="false" customHeight="false" outlineLevel="0" collapsed="false">
      <c r="A87" s="10" t="str">
        <f aca="false">IF(Kartyak!A82="","",Kartyak!A82)</f>
        <v/>
      </c>
      <c r="B87" s="10" t="str">
        <f aca="false">IF(A87="","",COUNTIFS(Statisztika!D:D,A87,Statisztika!C:C,"valasz"))</f>
        <v/>
      </c>
      <c r="C87" s="10" t="str">
        <f aca="false">IF(A87="","",COUNTIFS(Statisztika!D:D,A87,Statisztika!G:G,"NEM"))</f>
        <v/>
      </c>
      <c r="D87" s="11" t="str">
        <f aca="false">IF(OR(A87="",B87=0),"",C87/B87)</f>
        <v/>
      </c>
      <c r="E87" s="10" t="str">
        <f aca="false">IF(A87="","",Kartyak!D82)</f>
        <v/>
      </c>
    </row>
    <row r="88" customFormat="false" ht="15" hidden="false" customHeight="false" outlineLevel="0" collapsed="false">
      <c r="A88" s="10" t="str">
        <f aca="false">IF(Kartyak!A83="","",Kartyak!A83)</f>
        <v/>
      </c>
      <c r="B88" s="10" t="str">
        <f aca="false">IF(A88="","",COUNTIFS(Statisztika!D:D,A88,Statisztika!C:C,"valasz"))</f>
        <v/>
      </c>
      <c r="C88" s="10" t="str">
        <f aca="false">IF(A88="","",COUNTIFS(Statisztika!D:D,A88,Statisztika!G:G,"NEM"))</f>
        <v/>
      </c>
      <c r="D88" s="11" t="str">
        <f aca="false">IF(OR(A88="",B88=0),"",C88/B88)</f>
        <v/>
      </c>
      <c r="E88" s="10" t="str">
        <f aca="false">IF(A88="","",Kartyak!D83)</f>
        <v/>
      </c>
    </row>
    <row r="89" customFormat="false" ht="15" hidden="false" customHeight="false" outlineLevel="0" collapsed="false">
      <c r="A89" s="10" t="str">
        <f aca="false">IF(Kartyak!A84="","",Kartyak!A84)</f>
        <v/>
      </c>
      <c r="B89" s="10" t="str">
        <f aca="false">IF(A89="","",COUNTIFS(Statisztika!D:D,A89,Statisztika!C:C,"valasz"))</f>
        <v/>
      </c>
      <c r="C89" s="10" t="str">
        <f aca="false">IF(A89="","",COUNTIFS(Statisztika!D:D,A89,Statisztika!G:G,"NEM"))</f>
        <v/>
      </c>
      <c r="D89" s="11" t="str">
        <f aca="false">IF(OR(A89="",B89=0),"",C89/B89)</f>
        <v/>
      </c>
      <c r="E89" s="10" t="str">
        <f aca="false">IF(A89="","",Kartyak!D84)</f>
        <v/>
      </c>
    </row>
    <row r="90" customFormat="false" ht="15" hidden="false" customHeight="false" outlineLevel="0" collapsed="false">
      <c r="A90" s="10" t="str">
        <f aca="false">IF(Kartyak!A85="","",Kartyak!A85)</f>
        <v/>
      </c>
      <c r="B90" s="10" t="str">
        <f aca="false">IF(A90="","",COUNTIFS(Statisztika!D:D,A90,Statisztika!C:C,"valasz"))</f>
        <v/>
      </c>
      <c r="C90" s="10" t="str">
        <f aca="false">IF(A90="","",COUNTIFS(Statisztika!D:D,A90,Statisztika!G:G,"NEM"))</f>
        <v/>
      </c>
      <c r="D90" s="11" t="str">
        <f aca="false">IF(OR(A90="",B90=0),"",C90/B90)</f>
        <v/>
      </c>
      <c r="E90" s="10" t="str">
        <f aca="false">IF(A90="","",Kartyak!D85)</f>
        <v/>
      </c>
    </row>
    <row r="91" customFormat="false" ht="15" hidden="false" customHeight="false" outlineLevel="0" collapsed="false">
      <c r="A91" s="10" t="str">
        <f aca="false">IF(Kartyak!A86="","",Kartyak!A86)</f>
        <v/>
      </c>
      <c r="B91" s="10" t="str">
        <f aca="false">IF(A91="","",COUNTIFS(Statisztika!D:D,A91,Statisztika!C:C,"valasz"))</f>
        <v/>
      </c>
      <c r="C91" s="10" t="str">
        <f aca="false">IF(A91="","",COUNTIFS(Statisztika!D:D,A91,Statisztika!G:G,"NEM"))</f>
        <v/>
      </c>
      <c r="D91" s="11" t="str">
        <f aca="false">IF(OR(A91="",B91=0),"",C91/B91)</f>
        <v/>
      </c>
      <c r="E91" s="10" t="str">
        <f aca="false">IF(A91="","",Kartyak!D86)</f>
        <v/>
      </c>
    </row>
    <row r="92" customFormat="false" ht="15" hidden="false" customHeight="false" outlineLevel="0" collapsed="false">
      <c r="A92" s="10" t="str">
        <f aca="false">IF(Kartyak!A87="","",Kartyak!A87)</f>
        <v/>
      </c>
      <c r="B92" s="10" t="str">
        <f aca="false">IF(A92="","",COUNTIFS(Statisztika!D:D,A92,Statisztika!C:C,"valasz"))</f>
        <v/>
      </c>
      <c r="C92" s="10" t="str">
        <f aca="false">IF(A92="","",COUNTIFS(Statisztika!D:D,A92,Statisztika!G:G,"NEM"))</f>
        <v/>
      </c>
      <c r="D92" s="11" t="str">
        <f aca="false">IF(OR(A92="",B92=0),"",C92/B92)</f>
        <v/>
      </c>
      <c r="E92" s="10" t="str">
        <f aca="false">IF(A92="","",Kartyak!D87)</f>
        <v/>
      </c>
    </row>
    <row r="93" customFormat="false" ht="15" hidden="false" customHeight="false" outlineLevel="0" collapsed="false">
      <c r="A93" s="10" t="str">
        <f aca="false">IF(Kartyak!A88="","",Kartyak!A88)</f>
        <v/>
      </c>
      <c r="B93" s="10" t="str">
        <f aca="false">IF(A93="","",COUNTIFS(Statisztika!D:D,A93,Statisztika!C:C,"valasz"))</f>
        <v/>
      </c>
      <c r="C93" s="10" t="str">
        <f aca="false">IF(A93="","",COUNTIFS(Statisztika!D:D,A93,Statisztika!G:G,"NEM"))</f>
        <v/>
      </c>
      <c r="D93" s="11" t="str">
        <f aca="false">IF(OR(A93="",B93=0),"",C93/B93)</f>
        <v/>
      </c>
      <c r="E93" s="10" t="str">
        <f aca="false">IF(A93="","",Kartyak!D88)</f>
        <v/>
      </c>
    </row>
    <row r="94" customFormat="false" ht="15" hidden="false" customHeight="false" outlineLevel="0" collapsed="false">
      <c r="A94" s="10" t="str">
        <f aca="false">IF(Kartyak!A89="","",Kartyak!A89)</f>
        <v/>
      </c>
      <c r="B94" s="10" t="str">
        <f aca="false">IF(A94="","",COUNTIFS(Statisztika!D:D,A94,Statisztika!C:C,"valasz"))</f>
        <v/>
      </c>
      <c r="C94" s="10" t="str">
        <f aca="false">IF(A94="","",COUNTIFS(Statisztika!D:D,A94,Statisztika!G:G,"NEM"))</f>
        <v/>
      </c>
      <c r="D94" s="11" t="str">
        <f aca="false">IF(OR(A94="",B94=0),"",C94/B94)</f>
        <v/>
      </c>
      <c r="E94" s="10" t="str">
        <f aca="false">IF(A94="","",Kartyak!D89)</f>
        <v/>
      </c>
    </row>
    <row r="95" customFormat="false" ht="15" hidden="false" customHeight="false" outlineLevel="0" collapsed="false">
      <c r="A95" s="10" t="str">
        <f aca="false">IF(Kartyak!A90="","",Kartyak!A90)</f>
        <v/>
      </c>
      <c r="B95" s="10" t="str">
        <f aca="false">IF(A95="","",COUNTIFS(Statisztika!D:D,A95,Statisztika!C:C,"valasz"))</f>
        <v/>
      </c>
      <c r="C95" s="10" t="str">
        <f aca="false">IF(A95="","",COUNTIFS(Statisztika!D:D,A95,Statisztika!G:G,"NEM"))</f>
        <v/>
      </c>
      <c r="D95" s="11" t="str">
        <f aca="false">IF(OR(A95="",B95=0),"",C95/B95)</f>
        <v/>
      </c>
      <c r="E95" s="10" t="str">
        <f aca="false">IF(A95="","",Kartyak!D90)</f>
        <v/>
      </c>
    </row>
    <row r="96" customFormat="false" ht="15" hidden="false" customHeight="false" outlineLevel="0" collapsed="false">
      <c r="A96" s="10" t="str">
        <f aca="false">IF(Kartyak!A91="","",Kartyak!A91)</f>
        <v/>
      </c>
      <c r="B96" s="10" t="str">
        <f aca="false">IF(A96="","",COUNTIFS(Statisztika!D:D,A96,Statisztika!C:C,"valasz"))</f>
        <v/>
      </c>
      <c r="C96" s="10" t="str">
        <f aca="false">IF(A96="","",COUNTIFS(Statisztika!D:D,A96,Statisztika!G:G,"NEM"))</f>
        <v/>
      </c>
      <c r="D96" s="11" t="str">
        <f aca="false">IF(OR(A96="",B96=0),"",C96/B96)</f>
        <v/>
      </c>
      <c r="E96" s="10" t="str">
        <f aca="false">IF(A96="","",Kartyak!D91)</f>
        <v/>
      </c>
    </row>
    <row r="97" customFormat="false" ht="15" hidden="false" customHeight="false" outlineLevel="0" collapsed="false">
      <c r="A97" s="10" t="str">
        <f aca="false">IF(Kartyak!A92="","",Kartyak!A92)</f>
        <v/>
      </c>
      <c r="B97" s="10" t="str">
        <f aca="false">IF(A97="","",COUNTIFS(Statisztika!D:D,A97,Statisztika!C:C,"valasz"))</f>
        <v/>
      </c>
      <c r="C97" s="10" t="str">
        <f aca="false">IF(A97="","",COUNTIFS(Statisztika!D:D,A97,Statisztika!G:G,"NEM"))</f>
        <v/>
      </c>
      <c r="D97" s="11" t="str">
        <f aca="false">IF(OR(A97="",B97=0),"",C97/B97)</f>
        <v/>
      </c>
      <c r="E97" s="10" t="str">
        <f aca="false">IF(A97="","",Kartyak!D92)</f>
        <v/>
      </c>
    </row>
    <row r="98" customFormat="false" ht="15" hidden="false" customHeight="false" outlineLevel="0" collapsed="false">
      <c r="A98" s="10" t="str">
        <f aca="false">IF(Kartyak!A93="","",Kartyak!A93)</f>
        <v/>
      </c>
      <c r="B98" s="10" t="str">
        <f aca="false">IF(A98="","",COUNTIFS(Statisztika!D:D,A98,Statisztika!C:C,"valasz"))</f>
        <v/>
      </c>
      <c r="C98" s="10" t="str">
        <f aca="false">IF(A98="","",COUNTIFS(Statisztika!D:D,A98,Statisztika!G:G,"NEM"))</f>
        <v/>
      </c>
      <c r="D98" s="11" t="str">
        <f aca="false">IF(OR(A98="",B98=0),"",C98/B98)</f>
        <v/>
      </c>
      <c r="E98" s="10" t="str">
        <f aca="false">IF(A98="","",Kartyak!D93)</f>
        <v/>
      </c>
    </row>
    <row r="99" customFormat="false" ht="15" hidden="false" customHeight="false" outlineLevel="0" collapsed="false">
      <c r="A99" s="10" t="str">
        <f aca="false">IF(Kartyak!A94="","",Kartyak!A94)</f>
        <v/>
      </c>
      <c r="B99" s="10" t="str">
        <f aca="false">IF(A99="","",COUNTIFS(Statisztika!D:D,A99,Statisztika!C:C,"valasz"))</f>
        <v/>
      </c>
      <c r="C99" s="10" t="str">
        <f aca="false">IF(A99="","",COUNTIFS(Statisztika!D:D,A99,Statisztika!G:G,"NEM"))</f>
        <v/>
      </c>
      <c r="D99" s="11" t="str">
        <f aca="false">IF(OR(A99="",B99=0),"",C99/B99)</f>
        <v/>
      </c>
      <c r="E99" s="10" t="str">
        <f aca="false">IF(A99="","",Kartyak!D94)</f>
        <v/>
      </c>
    </row>
    <row r="100" customFormat="false" ht="15" hidden="false" customHeight="false" outlineLevel="0" collapsed="false">
      <c r="A100" s="10" t="str">
        <f aca="false">IF(Kartyak!A95="","",Kartyak!A95)</f>
        <v/>
      </c>
      <c r="B100" s="10" t="str">
        <f aca="false">IF(A100="","",COUNTIFS(Statisztika!D:D,A100,Statisztika!C:C,"valasz"))</f>
        <v/>
      </c>
      <c r="C100" s="10" t="str">
        <f aca="false">IF(A100="","",COUNTIFS(Statisztika!D:D,A100,Statisztika!G:G,"NEM"))</f>
        <v/>
      </c>
      <c r="D100" s="11" t="str">
        <f aca="false">IF(OR(A100="",B100=0),"",C100/B100)</f>
        <v/>
      </c>
      <c r="E100" s="10" t="str">
        <f aca="false">IF(A100="","",Kartyak!D95)</f>
        <v/>
      </c>
    </row>
    <row r="101" customFormat="false" ht="15" hidden="false" customHeight="false" outlineLevel="0" collapsed="false">
      <c r="A101" s="10" t="str">
        <f aca="false">IF(Kartyak!A96="","",Kartyak!A96)</f>
        <v/>
      </c>
      <c r="B101" s="10" t="str">
        <f aca="false">IF(A101="","",COUNTIFS(Statisztika!D:D,A101,Statisztika!C:C,"valasz"))</f>
        <v/>
      </c>
      <c r="C101" s="10" t="str">
        <f aca="false">IF(A101="","",COUNTIFS(Statisztika!D:D,A101,Statisztika!G:G,"NEM"))</f>
        <v/>
      </c>
      <c r="D101" s="11" t="str">
        <f aca="false">IF(OR(A101="",B101=0),"",C101/B101)</f>
        <v/>
      </c>
      <c r="E101" s="10" t="str">
        <f aca="false">IF(A101="","",Kartyak!D96)</f>
        <v/>
      </c>
    </row>
    <row r="102" customFormat="false" ht="15" hidden="false" customHeight="false" outlineLevel="0" collapsed="false">
      <c r="A102" s="10" t="str">
        <f aca="false">IF(Kartyak!A97="","",Kartyak!A97)</f>
        <v/>
      </c>
      <c r="B102" s="10" t="str">
        <f aca="false">IF(A102="","",COUNTIFS(Statisztika!D:D,A102,Statisztika!C:C,"valasz"))</f>
        <v/>
      </c>
      <c r="C102" s="10" t="str">
        <f aca="false">IF(A102="","",COUNTIFS(Statisztika!D:D,A102,Statisztika!G:G,"NEM"))</f>
        <v/>
      </c>
      <c r="D102" s="11" t="str">
        <f aca="false">IF(OR(A102="",B102=0),"",C102/B102)</f>
        <v/>
      </c>
      <c r="E102" s="10" t="str">
        <f aca="false">IF(A102="","",Kartyak!D97)</f>
        <v/>
      </c>
    </row>
    <row r="103" customFormat="false" ht="15" hidden="false" customHeight="false" outlineLevel="0" collapsed="false">
      <c r="A103" s="10" t="str">
        <f aca="false">IF(Kartyak!A98="","",Kartyak!A98)</f>
        <v/>
      </c>
      <c r="B103" s="10" t="str">
        <f aca="false">IF(A103="","",COUNTIFS(Statisztika!D:D,A103,Statisztika!C:C,"valasz"))</f>
        <v/>
      </c>
      <c r="C103" s="10" t="str">
        <f aca="false">IF(A103="","",COUNTIFS(Statisztika!D:D,A103,Statisztika!G:G,"NEM"))</f>
        <v/>
      </c>
      <c r="D103" s="11" t="str">
        <f aca="false">IF(OR(A103="",B103=0),"",C103/B103)</f>
        <v/>
      </c>
      <c r="E103" s="10" t="str">
        <f aca="false">IF(A103="","",Kartyak!D98)</f>
        <v/>
      </c>
    </row>
    <row r="104" customFormat="false" ht="15" hidden="false" customHeight="false" outlineLevel="0" collapsed="false">
      <c r="A104" s="10" t="str">
        <f aca="false">IF(Kartyak!A99="","",Kartyak!A99)</f>
        <v/>
      </c>
      <c r="B104" s="10" t="str">
        <f aca="false">IF(A104="","",COUNTIFS(Statisztika!D:D,A104,Statisztika!C:C,"valasz"))</f>
        <v/>
      </c>
      <c r="C104" s="10" t="str">
        <f aca="false">IF(A104="","",COUNTIFS(Statisztika!D:D,A104,Statisztika!G:G,"NEM"))</f>
        <v/>
      </c>
      <c r="D104" s="11" t="str">
        <f aca="false">IF(OR(A104="",B104=0),"",C104/B104)</f>
        <v/>
      </c>
      <c r="E104" s="10" t="str">
        <f aca="false">IF(A104="","",Kartyak!D99)</f>
        <v/>
      </c>
    </row>
    <row r="105" customFormat="false" ht="15" hidden="false" customHeight="false" outlineLevel="0" collapsed="false">
      <c r="A105" s="10" t="str">
        <f aca="false">IF(Kartyak!A100="","",Kartyak!A100)</f>
        <v/>
      </c>
      <c r="B105" s="10" t="str">
        <f aca="false">IF(A105="","",COUNTIFS(Statisztika!D:D,A105,Statisztika!C:C,"valasz"))</f>
        <v/>
      </c>
      <c r="C105" s="10" t="str">
        <f aca="false">IF(A105="","",COUNTIFS(Statisztika!D:D,A105,Statisztika!G:G,"NEM"))</f>
        <v/>
      </c>
      <c r="D105" s="11" t="str">
        <f aca="false">IF(OR(A105="",B105=0),"",C105/B105)</f>
        <v/>
      </c>
      <c r="E105" s="10" t="str">
        <f aca="false">IF(A105="","",Kartyak!D100)</f>
        <v/>
      </c>
    </row>
    <row r="106" customFormat="false" ht="15" hidden="false" customHeight="false" outlineLevel="0" collapsed="false">
      <c r="A106" s="10" t="str">
        <f aca="false">IF(Kartyak!A101="","",Kartyak!A101)</f>
        <v/>
      </c>
      <c r="B106" s="10" t="str">
        <f aca="false">IF(A106="","",COUNTIFS(Statisztika!D:D,A106,Statisztika!C:C,"valasz"))</f>
        <v/>
      </c>
      <c r="C106" s="10" t="str">
        <f aca="false">IF(A106="","",COUNTIFS(Statisztika!D:D,A106,Statisztika!G:G,"NEM"))</f>
        <v/>
      </c>
      <c r="D106" s="11" t="str">
        <f aca="false">IF(OR(A106="",B106=0),"",C106/B106)</f>
        <v/>
      </c>
      <c r="E106" s="10" t="str">
        <f aca="false">IF(A106="","",Kartyak!D101)</f>
        <v/>
      </c>
    </row>
    <row r="107" customFormat="false" ht="15" hidden="false" customHeight="false" outlineLevel="0" collapsed="false">
      <c r="A107" s="10" t="str">
        <f aca="false">IF(Kartyak!A102="","",Kartyak!A102)</f>
        <v/>
      </c>
      <c r="B107" s="10" t="str">
        <f aca="false">IF(A107="","",COUNTIFS(Statisztika!D:D,A107,Statisztika!C:C,"valasz"))</f>
        <v/>
      </c>
      <c r="C107" s="10" t="str">
        <f aca="false">IF(A107="","",COUNTIFS(Statisztika!D:D,A107,Statisztika!G:G,"NEM"))</f>
        <v/>
      </c>
      <c r="D107" s="11" t="str">
        <f aca="false">IF(OR(A107="",B107=0),"",C107/B107)</f>
        <v/>
      </c>
      <c r="E107" s="10" t="str">
        <f aca="false">IF(A107="","",Kartyak!D102)</f>
        <v/>
      </c>
    </row>
    <row r="108" customFormat="false" ht="15" hidden="false" customHeight="false" outlineLevel="0" collapsed="false">
      <c r="A108" s="10" t="str">
        <f aca="false">IF(Kartyak!A103="","",Kartyak!A103)</f>
        <v/>
      </c>
      <c r="B108" s="10" t="str">
        <f aca="false">IF(A108="","",COUNTIFS(Statisztika!D:D,A108,Statisztika!C:C,"valasz"))</f>
        <v/>
      </c>
      <c r="C108" s="10" t="str">
        <f aca="false">IF(A108="","",COUNTIFS(Statisztika!D:D,A108,Statisztika!G:G,"NEM"))</f>
        <v/>
      </c>
      <c r="D108" s="11" t="str">
        <f aca="false">IF(OR(A108="",B108=0),"",C108/B108)</f>
        <v/>
      </c>
      <c r="E108" s="10" t="str">
        <f aca="false">IF(A108="","",Kartyak!D103)</f>
        <v/>
      </c>
    </row>
    <row r="109" customFormat="false" ht="15" hidden="false" customHeight="false" outlineLevel="0" collapsed="false">
      <c r="A109" s="10" t="str">
        <f aca="false">IF(Kartyak!A104="","",Kartyak!A104)</f>
        <v/>
      </c>
      <c r="B109" s="10" t="str">
        <f aca="false">IF(A109="","",COUNTIFS(Statisztika!D:D,A109,Statisztika!C:C,"valasz"))</f>
        <v/>
      </c>
      <c r="C109" s="10" t="str">
        <f aca="false">IF(A109="","",COUNTIFS(Statisztika!D:D,A109,Statisztika!G:G,"NEM"))</f>
        <v/>
      </c>
      <c r="D109" s="11" t="str">
        <f aca="false">IF(OR(A109="",B109=0),"",C109/B109)</f>
        <v/>
      </c>
      <c r="E109" s="10" t="str">
        <f aca="false">IF(A109="","",Kartyak!D104)</f>
        <v/>
      </c>
    </row>
    <row r="110" customFormat="false" ht="15" hidden="false" customHeight="false" outlineLevel="0" collapsed="false">
      <c r="A110" s="10" t="str">
        <f aca="false">IF(Kartyak!A105="","",Kartyak!A105)</f>
        <v/>
      </c>
      <c r="B110" s="10" t="str">
        <f aca="false">IF(A110="","",COUNTIFS(Statisztika!D:D,A110,Statisztika!C:C,"valasz"))</f>
        <v/>
      </c>
      <c r="C110" s="10" t="str">
        <f aca="false">IF(A110="","",COUNTIFS(Statisztika!D:D,A110,Statisztika!G:G,"NEM"))</f>
        <v/>
      </c>
      <c r="D110" s="11" t="str">
        <f aca="false">IF(OR(A110="",B110=0),"",C110/B110)</f>
        <v/>
      </c>
      <c r="E110" s="10" t="str">
        <f aca="false">IF(A110="","",Kartyak!D105)</f>
        <v/>
      </c>
    </row>
    <row r="111" customFormat="false" ht="15" hidden="false" customHeight="false" outlineLevel="0" collapsed="false">
      <c r="A111" s="10" t="str">
        <f aca="false">IF(Kartyak!A106="","",Kartyak!A106)</f>
        <v/>
      </c>
      <c r="B111" s="10" t="str">
        <f aca="false">IF(A111="","",COUNTIFS(Statisztika!D:D,A111,Statisztika!C:C,"valasz"))</f>
        <v/>
      </c>
      <c r="C111" s="10" t="str">
        <f aca="false">IF(A111="","",COUNTIFS(Statisztika!D:D,A111,Statisztika!G:G,"NEM"))</f>
        <v/>
      </c>
      <c r="D111" s="11" t="str">
        <f aca="false">IF(OR(A111="",B111=0),"",C111/B111)</f>
        <v/>
      </c>
      <c r="E111" s="10" t="str">
        <f aca="false">IF(A111="","",Kartyak!D106)</f>
        <v/>
      </c>
    </row>
    <row r="112" customFormat="false" ht="15" hidden="false" customHeight="false" outlineLevel="0" collapsed="false">
      <c r="A112" s="10" t="str">
        <f aca="false">IF(Kartyak!A107="","",Kartyak!A107)</f>
        <v/>
      </c>
      <c r="B112" s="10" t="str">
        <f aca="false">IF(A112="","",COUNTIFS(Statisztika!D:D,A112,Statisztika!C:C,"valasz"))</f>
        <v/>
      </c>
      <c r="C112" s="10" t="str">
        <f aca="false">IF(A112="","",COUNTIFS(Statisztika!D:D,A112,Statisztika!G:G,"NEM"))</f>
        <v/>
      </c>
      <c r="D112" s="11" t="str">
        <f aca="false">IF(OR(A112="",B112=0),"",C112/B112)</f>
        <v/>
      </c>
      <c r="E112" s="10" t="str">
        <f aca="false">IF(A112="","",Kartyak!D107)</f>
        <v/>
      </c>
    </row>
    <row r="113" customFormat="false" ht="15" hidden="false" customHeight="false" outlineLevel="0" collapsed="false">
      <c r="A113" s="10" t="str">
        <f aca="false">IF(Kartyak!A108="","",Kartyak!A108)</f>
        <v/>
      </c>
      <c r="B113" s="10" t="str">
        <f aca="false">IF(A113="","",COUNTIFS(Statisztika!D:D,A113,Statisztika!C:C,"valasz"))</f>
        <v/>
      </c>
      <c r="C113" s="10" t="str">
        <f aca="false">IF(A113="","",COUNTIFS(Statisztika!D:D,A113,Statisztika!G:G,"NEM"))</f>
        <v/>
      </c>
      <c r="D113" s="11" t="str">
        <f aca="false">IF(OR(A113="",B113=0),"",C113/B113)</f>
        <v/>
      </c>
      <c r="E113" s="10" t="str">
        <f aca="false">IF(A113="","",Kartyak!D108)</f>
        <v/>
      </c>
    </row>
    <row r="114" customFormat="false" ht="15" hidden="false" customHeight="false" outlineLevel="0" collapsed="false">
      <c r="A114" s="10" t="str">
        <f aca="false">IF(Kartyak!A109="","",Kartyak!A109)</f>
        <v/>
      </c>
      <c r="B114" s="10" t="str">
        <f aca="false">IF(A114="","",COUNTIFS(Statisztika!D:D,A114,Statisztika!C:C,"valasz"))</f>
        <v/>
      </c>
      <c r="C114" s="10" t="str">
        <f aca="false">IF(A114="","",COUNTIFS(Statisztika!D:D,A114,Statisztika!G:G,"NEM"))</f>
        <v/>
      </c>
      <c r="D114" s="11" t="str">
        <f aca="false">IF(OR(A114="",B114=0),"",C114/B114)</f>
        <v/>
      </c>
      <c r="E114" s="10" t="str">
        <f aca="false">IF(A114="","",Kartyak!D109)</f>
        <v/>
      </c>
    </row>
    <row r="115" customFormat="false" ht="15" hidden="false" customHeight="false" outlineLevel="0" collapsed="false">
      <c r="A115" s="10" t="str">
        <f aca="false">IF(Kartyak!A110="","",Kartyak!A110)</f>
        <v/>
      </c>
      <c r="B115" s="10" t="str">
        <f aca="false">IF(A115="","",COUNTIFS(Statisztika!D:D,A115,Statisztika!C:C,"valasz"))</f>
        <v/>
      </c>
      <c r="C115" s="10" t="str">
        <f aca="false">IF(A115="","",COUNTIFS(Statisztika!D:D,A115,Statisztika!G:G,"NEM"))</f>
        <v/>
      </c>
      <c r="D115" s="11" t="str">
        <f aca="false">IF(OR(A115="",B115=0),"",C115/B115)</f>
        <v/>
      </c>
      <c r="E115" s="10" t="str">
        <f aca="false">IF(A115="","",Kartyak!D110)</f>
        <v/>
      </c>
    </row>
    <row r="116" customFormat="false" ht="15" hidden="false" customHeight="false" outlineLevel="0" collapsed="false">
      <c r="A116" s="10" t="str">
        <f aca="false">IF(Kartyak!A111="","",Kartyak!A111)</f>
        <v/>
      </c>
      <c r="B116" s="10" t="str">
        <f aca="false">IF(A116="","",COUNTIFS(Statisztika!D:D,A116,Statisztika!C:C,"valasz"))</f>
        <v/>
      </c>
      <c r="C116" s="10" t="str">
        <f aca="false">IF(A116="","",COUNTIFS(Statisztika!D:D,A116,Statisztika!G:G,"NEM"))</f>
        <v/>
      </c>
      <c r="D116" s="11" t="str">
        <f aca="false">IF(OR(A116="",B116=0),"",C116/B116)</f>
        <v/>
      </c>
      <c r="E116" s="10" t="str">
        <f aca="false">IF(A116="","",Kartyak!D111)</f>
        <v/>
      </c>
    </row>
    <row r="117" customFormat="false" ht="15" hidden="false" customHeight="false" outlineLevel="0" collapsed="false">
      <c r="A117" s="10" t="str">
        <f aca="false">IF(Kartyak!A112="","",Kartyak!A112)</f>
        <v/>
      </c>
      <c r="B117" s="10" t="str">
        <f aca="false">IF(A117="","",COUNTIFS(Statisztika!D:D,A117,Statisztika!C:C,"valasz"))</f>
        <v/>
      </c>
      <c r="C117" s="10" t="str">
        <f aca="false">IF(A117="","",COUNTIFS(Statisztika!D:D,A117,Statisztika!G:G,"NEM"))</f>
        <v/>
      </c>
      <c r="D117" s="11" t="str">
        <f aca="false">IF(OR(A117="",B117=0),"",C117/B117)</f>
        <v/>
      </c>
      <c r="E117" s="10" t="str">
        <f aca="false">IF(A117="","",Kartyak!D112)</f>
        <v/>
      </c>
    </row>
    <row r="118" customFormat="false" ht="15" hidden="false" customHeight="false" outlineLevel="0" collapsed="false">
      <c r="A118" s="10" t="str">
        <f aca="false">IF(Kartyak!A113="","",Kartyak!A113)</f>
        <v/>
      </c>
      <c r="B118" s="10" t="str">
        <f aca="false">IF(A118="","",COUNTIFS(Statisztika!D:D,A118,Statisztika!C:C,"valasz"))</f>
        <v/>
      </c>
      <c r="C118" s="10" t="str">
        <f aca="false">IF(A118="","",COUNTIFS(Statisztika!D:D,A118,Statisztika!G:G,"NEM"))</f>
        <v/>
      </c>
      <c r="D118" s="11" t="str">
        <f aca="false">IF(OR(A118="",B118=0),"",C118/B118)</f>
        <v/>
      </c>
      <c r="E118" s="10" t="str">
        <f aca="false">IF(A118="","",Kartyak!D113)</f>
        <v/>
      </c>
    </row>
    <row r="119" customFormat="false" ht="15" hidden="false" customHeight="false" outlineLevel="0" collapsed="false">
      <c r="A119" s="10" t="str">
        <f aca="false">IF(Kartyak!A114="","",Kartyak!A114)</f>
        <v/>
      </c>
      <c r="B119" s="10" t="str">
        <f aca="false">IF(A119="","",COUNTIFS(Statisztika!D:D,A119,Statisztika!C:C,"valasz"))</f>
        <v/>
      </c>
      <c r="C119" s="10" t="str">
        <f aca="false">IF(A119="","",COUNTIFS(Statisztika!D:D,A119,Statisztika!G:G,"NEM"))</f>
        <v/>
      </c>
      <c r="D119" s="11" t="str">
        <f aca="false">IF(OR(A119="",B119=0),"",C119/B119)</f>
        <v/>
      </c>
      <c r="E119" s="10" t="str">
        <f aca="false">IF(A119="","",Kartyak!D114)</f>
        <v/>
      </c>
    </row>
    <row r="120" customFormat="false" ht="15" hidden="false" customHeight="false" outlineLevel="0" collapsed="false">
      <c r="A120" s="10" t="str">
        <f aca="false">IF(Kartyak!A115="","",Kartyak!A115)</f>
        <v/>
      </c>
      <c r="B120" s="10" t="str">
        <f aca="false">IF(A120="","",COUNTIFS(Statisztika!D:D,A120,Statisztika!C:C,"valasz"))</f>
        <v/>
      </c>
      <c r="C120" s="10" t="str">
        <f aca="false">IF(A120="","",COUNTIFS(Statisztika!D:D,A120,Statisztika!G:G,"NEM"))</f>
        <v/>
      </c>
      <c r="D120" s="11" t="str">
        <f aca="false">IF(OR(A120="",B120=0),"",C120/B120)</f>
        <v/>
      </c>
      <c r="E120" s="10" t="str">
        <f aca="false">IF(A120="","",Kartyak!D115)</f>
        <v/>
      </c>
    </row>
    <row r="121" customFormat="false" ht="15" hidden="false" customHeight="false" outlineLevel="0" collapsed="false">
      <c r="A121" s="10" t="str">
        <f aca="false">IF(Kartyak!A116="","",Kartyak!A116)</f>
        <v/>
      </c>
      <c r="B121" s="10" t="str">
        <f aca="false">IF(A121="","",COUNTIFS(Statisztika!D:D,A121,Statisztika!C:C,"valasz"))</f>
        <v/>
      </c>
      <c r="C121" s="10" t="str">
        <f aca="false">IF(A121="","",COUNTIFS(Statisztika!D:D,A121,Statisztika!G:G,"NEM"))</f>
        <v/>
      </c>
      <c r="D121" s="11" t="str">
        <f aca="false">IF(OR(A121="",B121=0),"",C121/B121)</f>
        <v/>
      </c>
      <c r="E121" s="10" t="str">
        <f aca="false">IF(A121="","",Kartyak!D116)</f>
        <v/>
      </c>
    </row>
    <row r="122" customFormat="false" ht="15" hidden="false" customHeight="false" outlineLevel="0" collapsed="false">
      <c r="A122" s="10" t="str">
        <f aca="false">IF(Kartyak!A117="","",Kartyak!A117)</f>
        <v/>
      </c>
      <c r="B122" s="10" t="str">
        <f aca="false">IF(A122="","",COUNTIFS(Statisztika!D:D,A122,Statisztika!C:C,"valasz"))</f>
        <v/>
      </c>
      <c r="C122" s="10" t="str">
        <f aca="false">IF(A122="","",COUNTIFS(Statisztika!D:D,A122,Statisztika!G:G,"NEM"))</f>
        <v/>
      </c>
      <c r="D122" s="11" t="str">
        <f aca="false">IF(OR(A122="",B122=0),"",C122/B122)</f>
        <v/>
      </c>
      <c r="E122" s="10" t="str">
        <f aca="false">IF(A122="","",Kartyak!D117)</f>
        <v/>
      </c>
    </row>
    <row r="123" customFormat="false" ht="15" hidden="false" customHeight="false" outlineLevel="0" collapsed="false">
      <c r="A123" s="10" t="str">
        <f aca="false">IF(Kartyak!A118="","",Kartyak!A118)</f>
        <v/>
      </c>
      <c r="B123" s="10" t="str">
        <f aca="false">IF(A123="","",COUNTIFS(Statisztika!D:D,A123,Statisztika!C:C,"valasz"))</f>
        <v/>
      </c>
      <c r="C123" s="10" t="str">
        <f aca="false">IF(A123="","",COUNTIFS(Statisztika!D:D,A123,Statisztika!G:G,"NEM"))</f>
        <v/>
      </c>
      <c r="D123" s="11" t="str">
        <f aca="false">IF(OR(A123="",B123=0),"",C123/B123)</f>
        <v/>
      </c>
      <c r="E123" s="10" t="str">
        <f aca="false">IF(A123="","",Kartyak!D118)</f>
        <v/>
      </c>
    </row>
    <row r="124" customFormat="false" ht="15" hidden="false" customHeight="false" outlineLevel="0" collapsed="false">
      <c r="A124" s="10" t="str">
        <f aca="false">IF(Kartyak!A119="","",Kartyak!A119)</f>
        <v/>
      </c>
      <c r="B124" s="10" t="str">
        <f aca="false">IF(A124="","",COUNTIFS(Statisztika!D:D,A124,Statisztika!C:C,"valasz"))</f>
        <v/>
      </c>
      <c r="C124" s="10" t="str">
        <f aca="false">IF(A124="","",COUNTIFS(Statisztika!D:D,A124,Statisztika!G:G,"NEM"))</f>
        <v/>
      </c>
      <c r="D124" s="11" t="str">
        <f aca="false">IF(OR(A124="",B124=0),"",C124/B124)</f>
        <v/>
      </c>
      <c r="E124" s="10" t="str">
        <f aca="false">IF(A124="","",Kartyak!D119)</f>
        <v/>
      </c>
    </row>
    <row r="125" customFormat="false" ht="15" hidden="false" customHeight="false" outlineLevel="0" collapsed="false">
      <c r="A125" s="10" t="str">
        <f aca="false">IF(Kartyak!A120="","",Kartyak!A120)</f>
        <v/>
      </c>
      <c r="B125" s="10" t="str">
        <f aca="false">IF(A125="","",COUNTIFS(Statisztika!D:D,A125,Statisztika!C:C,"valasz"))</f>
        <v/>
      </c>
      <c r="C125" s="10" t="str">
        <f aca="false">IF(A125="","",COUNTIFS(Statisztika!D:D,A125,Statisztika!G:G,"NEM"))</f>
        <v/>
      </c>
      <c r="D125" s="11" t="str">
        <f aca="false">IF(OR(A125="",B125=0),"",C125/B125)</f>
        <v/>
      </c>
      <c r="E125" s="10" t="str">
        <f aca="false">IF(A125="","",Kartyak!D120)</f>
        <v/>
      </c>
    </row>
    <row r="126" customFormat="false" ht="15" hidden="false" customHeight="false" outlineLevel="0" collapsed="false">
      <c r="A126" s="10" t="str">
        <f aca="false">IF(Kartyak!A121="","",Kartyak!A121)</f>
        <v/>
      </c>
      <c r="B126" s="10" t="str">
        <f aca="false">IF(A126="","",COUNTIFS(Statisztika!D:D,A126,Statisztika!C:C,"valasz"))</f>
        <v/>
      </c>
      <c r="C126" s="10" t="str">
        <f aca="false">IF(A126="","",COUNTIFS(Statisztika!D:D,A126,Statisztika!G:G,"NEM"))</f>
        <v/>
      </c>
      <c r="D126" s="11" t="str">
        <f aca="false">IF(OR(A126="",B126=0),"",C126/B126)</f>
        <v/>
      </c>
      <c r="E126" s="10" t="str">
        <f aca="false">IF(A126="","",Kartyak!D121)</f>
        <v/>
      </c>
    </row>
    <row r="127" customFormat="false" ht="15" hidden="false" customHeight="false" outlineLevel="0" collapsed="false">
      <c r="A127" s="10" t="str">
        <f aca="false">IF(Kartyak!A122="","",Kartyak!A122)</f>
        <v/>
      </c>
      <c r="B127" s="10" t="str">
        <f aca="false">IF(A127="","",COUNTIFS(Statisztika!D:D,A127,Statisztika!C:C,"valasz"))</f>
        <v/>
      </c>
      <c r="C127" s="10" t="str">
        <f aca="false">IF(A127="","",COUNTIFS(Statisztika!D:D,A127,Statisztika!G:G,"NEM"))</f>
        <v/>
      </c>
      <c r="D127" s="11" t="str">
        <f aca="false">IF(OR(A127="",B127=0),"",C127/B127)</f>
        <v/>
      </c>
      <c r="E127" s="10" t="str">
        <f aca="false">IF(A127="","",Kartyak!D122)</f>
        <v/>
      </c>
    </row>
    <row r="128" customFormat="false" ht="15" hidden="false" customHeight="false" outlineLevel="0" collapsed="false">
      <c r="A128" s="10" t="str">
        <f aca="false">IF(Kartyak!A123="","",Kartyak!A123)</f>
        <v/>
      </c>
      <c r="B128" s="10" t="str">
        <f aca="false">IF(A128="","",COUNTIFS(Statisztika!D:D,A128,Statisztika!C:C,"valasz"))</f>
        <v/>
      </c>
      <c r="C128" s="10" t="str">
        <f aca="false">IF(A128="","",COUNTIFS(Statisztika!D:D,A128,Statisztika!G:G,"NEM"))</f>
        <v/>
      </c>
      <c r="D128" s="11" t="str">
        <f aca="false">IF(OR(A128="",B128=0),"",C128/B128)</f>
        <v/>
      </c>
      <c r="E128" s="10" t="str">
        <f aca="false">IF(A128="","",Kartyak!D123)</f>
        <v/>
      </c>
    </row>
    <row r="129" customFormat="false" ht="15" hidden="false" customHeight="false" outlineLevel="0" collapsed="false">
      <c r="A129" s="10" t="str">
        <f aca="false">IF(Kartyak!A124="","",Kartyak!A124)</f>
        <v/>
      </c>
      <c r="B129" s="10" t="str">
        <f aca="false">IF(A129="","",COUNTIFS(Statisztika!D:D,A129,Statisztika!C:C,"valasz"))</f>
        <v/>
      </c>
      <c r="C129" s="10" t="str">
        <f aca="false">IF(A129="","",COUNTIFS(Statisztika!D:D,A129,Statisztika!G:G,"NEM"))</f>
        <v/>
      </c>
      <c r="D129" s="11" t="str">
        <f aca="false">IF(OR(A129="",B129=0),"",C129/B129)</f>
        <v/>
      </c>
      <c r="E129" s="10" t="str">
        <f aca="false">IF(A129="","",Kartyak!D124)</f>
        <v/>
      </c>
    </row>
    <row r="130" customFormat="false" ht="15" hidden="false" customHeight="false" outlineLevel="0" collapsed="false">
      <c r="A130" s="10" t="str">
        <f aca="false">IF(Kartyak!A125="","",Kartyak!A125)</f>
        <v/>
      </c>
      <c r="B130" s="10" t="str">
        <f aca="false">IF(A130="","",COUNTIFS(Statisztika!D:D,A130,Statisztika!C:C,"valasz"))</f>
        <v/>
      </c>
      <c r="C130" s="10" t="str">
        <f aca="false">IF(A130="","",COUNTIFS(Statisztika!D:D,A130,Statisztika!G:G,"NEM"))</f>
        <v/>
      </c>
      <c r="D130" s="11" t="str">
        <f aca="false">IF(OR(A130="",B130=0),"",C130/B130)</f>
        <v/>
      </c>
      <c r="E130" s="10" t="str">
        <f aca="false">IF(A130="","",Kartyak!D125)</f>
        <v/>
      </c>
    </row>
    <row r="131" customFormat="false" ht="15" hidden="false" customHeight="false" outlineLevel="0" collapsed="false">
      <c r="A131" s="10" t="str">
        <f aca="false">IF(Kartyak!A126="","",Kartyak!A126)</f>
        <v/>
      </c>
      <c r="B131" s="10" t="str">
        <f aca="false">IF(A131="","",COUNTIFS(Statisztika!D:D,A131,Statisztika!C:C,"valasz"))</f>
        <v/>
      </c>
      <c r="C131" s="10" t="str">
        <f aca="false">IF(A131="","",COUNTIFS(Statisztika!D:D,A131,Statisztika!G:G,"NEM"))</f>
        <v/>
      </c>
      <c r="D131" s="11" t="str">
        <f aca="false">IF(OR(A131="",B131=0),"",C131/B131)</f>
        <v/>
      </c>
      <c r="E131" s="10" t="str">
        <f aca="false">IF(A131="","",Kartyak!D126)</f>
        <v/>
      </c>
    </row>
    <row r="132" customFormat="false" ht="15" hidden="false" customHeight="false" outlineLevel="0" collapsed="false">
      <c r="A132" s="10" t="str">
        <f aca="false">IF(Kartyak!A127="","",Kartyak!A127)</f>
        <v/>
      </c>
      <c r="B132" s="10" t="str">
        <f aca="false">IF(A132="","",COUNTIFS(Statisztika!D:D,A132,Statisztika!C:C,"valasz"))</f>
        <v/>
      </c>
      <c r="C132" s="10" t="str">
        <f aca="false">IF(A132="","",COUNTIFS(Statisztika!D:D,A132,Statisztika!G:G,"NEM"))</f>
        <v/>
      </c>
      <c r="D132" s="11" t="str">
        <f aca="false">IF(OR(A132="",B132=0),"",C132/B132)</f>
        <v/>
      </c>
      <c r="E132" s="10" t="str">
        <f aca="false">IF(A132="","",Kartyak!D127)</f>
        <v/>
      </c>
    </row>
    <row r="133" customFormat="false" ht="15" hidden="false" customHeight="false" outlineLevel="0" collapsed="false">
      <c r="A133" s="10" t="str">
        <f aca="false">IF(Kartyak!A128="","",Kartyak!A128)</f>
        <v/>
      </c>
      <c r="B133" s="10" t="str">
        <f aca="false">IF(A133="","",COUNTIFS(Statisztika!D:D,A133,Statisztika!C:C,"valasz"))</f>
        <v/>
      </c>
      <c r="C133" s="10" t="str">
        <f aca="false">IF(A133="","",COUNTIFS(Statisztika!D:D,A133,Statisztika!G:G,"NEM"))</f>
        <v/>
      </c>
      <c r="D133" s="11" t="str">
        <f aca="false">IF(OR(A133="",B133=0),"",C133/B133)</f>
        <v/>
      </c>
      <c r="E133" s="10" t="str">
        <f aca="false">IF(A133="","",Kartyak!D128)</f>
        <v/>
      </c>
    </row>
    <row r="134" customFormat="false" ht="15" hidden="false" customHeight="false" outlineLevel="0" collapsed="false">
      <c r="A134" s="10" t="str">
        <f aca="false">IF(Kartyak!A129="","",Kartyak!A129)</f>
        <v/>
      </c>
      <c r="B134" s="10" t="str">
        <f aca="false">IF(A134="","",COUNTIFS(Statisztika!D:D,A134,Statisztika!C:C,"valasz"))</f>
        <v/>
      </c>
      <c r="C134" s="10" t="str">
        <f aca="false">IF(A134="","",COUNTIFS(Statisztika!D:D,A134,Statisztika!G:G,"NEM"))</f>
        <v/>
      </c>
      <c r="D134" s="11" t="str">
        <f aca="false">IF(OR(A134="",B134=0),"",C134/B134)</f>
        <v/>
      </c>
      <c r="E134" s="10" t="str">
        <f aca="false">IF(A134="","",Kartyak!D129)</f>
        <v/>
      </c>
    </row>
    <row r="135" customFormat="false" ht="15" hidden="false" customHeight="false" outlineLevel="0" collapsed="false">
      <c r="A135" s="10" t="str">
        <f aca="false">IF(Kartyak!A130="","",Kartyak!A130)</f>
        <v/>
      </c>
      <c r="B135" s="10" t="str">
        <f aca="false">IF(A135="","",COUNTIFS(Statisztika!D:D,A135,Statisztika!C:C,"valasz"))</f>
        <v/>
      </c>
      <c r="C135" s="10" t="str">
        <f aca="false">IF(A135="","",COUNTIFS(Statisztika!D:D,A135,Statisztika!G:G,"NEM"))</f>
        <v/>
      </c>
      <c r="D135" s="11" t="str">
        <f aca="false">IF(OR(A135="",B135=0),"",C135/B135)</f>
        <v/>
      </c>
      <c r="E135" s="10" t="str">
        <f aca="false">IF(A135="","",Kartyak!D130)</f>
        <v/>
      </c>
    </row>
    <row r="136" customFormat="false" ht="15" hidden="false" customHeight="false" outlineLevel="0" collapsed="false">
      <c r="A136" s="10" t="str">
        <f aca="false">IF(Kartyak!A131="","",Kartyak!A131)</f>
        <v/>
      </c>
      <c r="B136" s="10" t="str">
        <f aca="false">IF(A136="","",COUNTIFS(Statisztika!D:D,A136,Statisztika!C:C,"valasz"))</f>
        <v/>
      </c>
      <c r="C136" s="10" t="str">
        <f aca="false">IF(A136="","",COUNTIFS(Statisztika!D:D,A136,Statisztika!G:G,"NEM"))</f>
        <v/>
      </c>
      <c r="D136" s="11" t="str">
        <f aca="false">IF(OR(A136="",B136=0),"",C136/B136)</f>
        <v/>
      </c>
      <c r="E136" s="10" t="str">
        <f aca="false">IF(A136="","",Kartyak!D131)</f>
        <v/>
      </c>
    </row>
    <row r="137" customFormat="false" ht="15" hidden="false" customHeight="false" outlineLevel="0" collapsed="false">
      <c r="A137" s="10" t="str">
        <f aca="false">IF(Kartyak!A132="","",Kartyak!A132)</f>
        <v/>
      </c>
      <c r="B137" s="10" t="str">
        <f aca="false">IF(A137="","",COUNTIFS(Statisztika!D:D,A137,Statisztika!C:C,"valasz"))</f>
        <v/>
      </c>
      <c r="C137" s="10" t="str">
        <f aca="false">IF(A137="","",COUNTIFS(Statisztika!D:D,A137,Statisztika!G:G,"NEM"))</f>
        <v/>
      </c>
      <c r="D137" s="11" t="str">
        <f aca="false">IF(OR(A137="",B137=0),"",C137/B137)</f>
        <v/>
      </c>
      <c r="E137" s="10" t="str">
        <f aca="false">IF(A137="","",Kartyak!D132)</f>
        <v/>
      </c>
    </row>
    <row r="138" customFormat="false" ht="15" hidden="false" customHeight="false" outlineLevel="0" collapsed="false">
      <c r="A138" s="10" t="str">
        <f aca="false">IF(Kartyak!A133="","",Kartyak!A133)</f>
        <v/>
      </c>
      <c r="B138" s="10" t="str">
        <f aca="false">IF(A138="","",COUNTIFS(Statisztika!D:D,A138,Statisztika!C:C,"valasz"))</f>
        <v/>
      </c>
      <c r="C138" s="10" t="str">
        <f aca="false">IF(A138="","",COUNTIFS(Statisztika!D:D,A138,Statisztika!G:G,"NEM"))</f>
        <v/>
      </c>
      <c r="D138" s="11" t="str">
        <f aca="false">IF(OR(A138="",B138=0),"",C138/B138)</f>
        <v/>
      </c>
      <c r="E138" s="10" t="str">
        <f aca="false">IF(A138="","",Kartyak!D133)</f>
        <v/>
      </c>
    </row>
    <row r="139" customFormat="false" ht="15" hidden="false" customHeight="false" outlineLevel="0" collapsed="false">
      <c r="A139" s="10" t="str">
        <f aca="false">IF(Kartyak!A134="","",Kartyak!A134)</f>
        <v/>
      </c>
      <c r="B139" s="10" t="str">
        <f aca="false">IF(A139="","",COUNTIFS(Statisztika!D:D,A139,Statisztika!C:C,"valasz"))</f>
        <v/>
      </c>
      <c r="C139" s="10" t="str">
        <f aca="false">IF(A139="","",COUNTIFS(Statisztika!D:D,A139,Statisztika!G:G,"NEM"))</f>
        <v/>
      </c>
      <c r="D139" s="11" t="str">
        <f aca="false">IF(OR(A139="",B139=0),"",C139/B139)</f>
        <v/>
      </c>
      <c r="E139" s="10" t="str">
        <f aca="false">IF(A139="","",Kartyak!D134)</f>
        <v/>
      </c>
    </row>
    <row r="140" customFormat="false" ht="15" hidden="false" customHeight="false" outlineLevel="0" collapsed="false">
      <c r="A140" s="10" t="str">
        <f aca="false">IF(Kartyak!A135="","",Kartyak!A135)</f>
        <v/>
      </c>
      <c r="B140" s="10" t="str">
        <f aca="false">IF(A140="","",COUNTIFS(Statisztika!D:D,A140,Statisztika!C:C,"valasz"))</f>
        <v/>
      </c>
      <c r="C140" s="10" t="str">
        <f aca="false">IF(A140="","",COUNTIFS(Statisztika!D:D,A140,Statisztika!G:G,"NEM"))</f>
        <v/>
      </c>
      <c r="D140" s="11" t="str">
        <f aca="false">IF(OR(A140="",B140=0),"",C140/B140)</f>
        <v/>
      </c>
      <c r="E140" s="10" t="str">
        <f aca="false">IF(A140="","",Kartyak!D135)</f>
        <v/>
      </c>
    </row>
    <row r="141" customFormat="false" ht="15" hidden="false" customHeight="false" outlineLevel="0" collapsed="false">
      <c r="A141" s="10" t="str">
        <f aca="false">IF(Kartyak!A136="","",Kartyak!A136)</f>
        <v/>
      </c>
      <c r="B141" s="10" t="str">
        <f aca="false">IF(A141="","",COUNTIFS(Statisztika!D:D,A141,Statisztika!C:C,"valasz"))</f>
        <v/>
      </c>
      <c r="C141" s="10" t="str">
        <f aca="false">IF(A141="","",COUNTIFS(Statisztika!D:D,A141,Statisztika!G:G,"NEM"))</f>
        <v/>
      </c>
      <c r="D141" s="11" t="str">
        <f aca="false">IF(OR(A141="",B141=0),"",C141/B141)</f>
        <v/>
      </c>
      <c r="E141" s="10" t="str">
        <f aca="false">IF(A141="","",Kartyak!D136)</f>
        <v/>
      </c>
    </row>
    <row r="142" customFormat="false" ht="15" hidden="false" customHeight="false" outlineLevel="0" collapsed="false">
      <c r="A142" s="10" t="str">
        <f aca="false">IF(Kartyak!A137="","",Kartyak!A137)</f>
        <v/>
      </c>
      <c r="B142" s="10" t="str">
        <f aca="false">IF(A142="","",COUNTIFS(Statisztika!D:D,A142,Statisztika!C:C,"valasz"))</f>
        <v/>
      </c>
      <c r="C142" s="10" t="str">
        <f aca="false">IF(A142="","",COUNTIFS(Statisztika!D:D,A142,Statisztika!G:G,"NEM"))</f>
        <v/>
      </c>
      <c r="D142" s="11" t="str">
        <f aca="false">IF(OR(A142="",B142=0),"",C142/B142)</f>
        <v/>
      </c>
      <c r="E142" s="10" t="str">
        <f aca="false">IF(A142="","",Kartyak!D137)</f>
        <v/>
      </c>
    </row>
    <row r="143" customFormat="false" ht="15" hidden="false" customHeight="false" outlineLevel="0" collapsed="false">
      <c r="A143" s="10" t="str">
        <f aca="false">IF(Kartyak!A138="","",Kartyak!A138)</f>
        <v/>
      </c>
      <c r="B143" s="10" t="str">
        <f aca="false">IF(A143="","",COUNTIFS(Statisztika!D:D,A143,Statisztika!C:C,"valasz"))</f>
        <v/>
      </c>
      <c r="C143" s="10" t="str">
        <f aca="false">IF(A143="","",COUNTIFS(Statisztika!D:D,A143,Statisztika!G:G,"NEM"))</f>
        <v/>
      </c>
      <c r="D143" s="11" t="str">
        <f aca="false">IF(OR(A143="",B143=0),"",C143/B143)</f>
        <v/>
      </c>
      <c r="E143" s="10" t="str">
        <f aca="false">IF(A143="","",Kartyak!D138)</f>
        <v/>
      </c>
    </row>
    <row r="144" customFormat="false" ht="15" hidden="false" customHeight="false" outlineLevel="0" collapsed="false">
      <c r="A144" s="10" t="str">
        <f aca="false">IF(Kartyak!A139="","",Kartyak!A139)</f>
        <v/>
      </c>
      <c r="B144" s="10" t="str">
        <f aca="false">IF(A144="","",COUNTIFS(Statisztika!D:D,A144,Statisztika!C:C,"valasz"))</f>
        <v/>
      </c>
      <c r="C144" s="10" t="str">
        <f aca="false">IF(A144="","",COUNTIFS(Statisztika!D:D,A144,Statisztika!G:G,"NEM"))</f>
        <v/>
      </c>
      <c r="D144" s="11" t="str">
        <f aca="false">IF(OR(A144="",B144=0),"",C144/B144)</f>
        <v/>
      </c>
      <c r="E144" s="10" t="str">
        <f aca="false">IF(A144="","",Kartyak!D139)</f>
        <v/>
      </c>
    </row>
    <row r="145" customFormat="false" ht="15" hidden="false" customHeight="false" outlineLevel="0" collapsed="false">
      <c r="A145" s="10" t="str">
        <f aca="false">IF(Kartyak!A140="","",Kartyak!A140)</f>
        <v/>
      </c>
      <c r="B145" s="10" t="str">
        <f aca="false">IF(A145="","",COUNTIFS(Statisztika!D:D,A145,Statisztika!C:C,"valasz"))</f>
        <v/>
      </c>
      <c r="C145" s="10" t="str">
        <f aca="false">IF(A145="","",COUNTIFS(Statisztika!D:D,A145,Statisztika!G:G,"NEM"))</f>
        <v/>
      </c>
      <c r="D145" s="11" t="str">
        <f aca="false">IF(OR(A145="",B145=0),"",C145/B145)</f>
        <v/>
      </c>
      <c r="E145" s="10" t="str">
        <f aca="false">IF(A145="","",Kartyak!D140)</f>
        <v/>
      </c>
    </row>
    <row r="146" customFormat="false" ht="15" hidden="false" customHeight="false" outlineLevel="0" collapsed="false">
      <c r="A146" s="10" t="str">
        <f aca="false">IF(Kartyak!A141="","",Kartyak!A141)</f>
        <v/>
      </c>
      <c r="B146" s="10" t="str">
        <f aca="false">IF(A146="","",COUNTIFS(Statisztika!D:D,A146,Statisztika!C:C,"valasz"))</f>
        <v/>
      </c>
      <c r="C146" s="10" t="str">
        <f aca="false">IF(A146="","",COUNTIFS(Statisztika!D:D,A146,Statisztika!G:G,"NEM"))</f>
        <v/>
      </c>
      <c r="D146" s="11" t="str">
        <f aca="false">IF(OR(A146="",B146=0),"",C146/B146)</f>
        <v/>
      </c>
      <c r="E146" s="10" t="str">
        <f aca="false">IF(A146="","",Kartyak!D141)</f>
        <v/>
      </c>
    </row>
    <row r="147" customFormat="false" ht="15" hidden="false" customHeight="false" outlineLevel="0" collapsed="false">
      <c r="A147" s="10" t="str">
        <f aca="false">IF(Kartyak!A142="","",Kartyak!A142)</f>
        <v/>
      </c>
      <c r="B147" s="10" t="str">
        <f aca="false">IF(A147="","",COUNTIFS(Statisztika!D:D,A147,Statisztika!C:C,"valasz"))</f>
        <v/>
      </c>
      <c r="C147" s="10" t="str">
        <f aca="false">IF(A147="","",COUNTIFS(Statisztika!D:D,A147,Statisztika!G:G,"NEM"))</f>
        <v/>
      </c>
      <c r="D147" s="11" t="str">
        <f aca="false">IF(OR(A147="",B147=0),"",C147/B147)</f>
        <v/>
      </c>
      <c r="E147" s="10" t="str">
        <f aca="false">IF(A147="","",Kartyak!D142)</f>
        <v/>
      </c>
    </row>
    <row r="148" customFormat="false" ht="15" hidden="false" customHeight="false" outlineLevel="0" collapsed="false">
      <c r="A148" s="10" t="str">
        <f aca="false">IF(Kartyak!A143="","",Kartyak!A143)</f>
        <v/>
      </c>
      <c r="B148" s="10" t="str">
        <f aca="false">IF(A148="","",COUNTIFS(Statisztika!D:D,A148,Statisztika!C:C,"valasz"))</f>
        <v/>
      </c>
      <c r="C148" s="10" t="str">
        <f aca="false">IF(A148="","",COUNTIFS(Statisztika!D:D,A148,Statisztika!G:G,"NEM"))</f>
        <v/>
      </c>
      <c r="D148" s="11" t="str">
        <f aca="false">IF(OR(A148="",B148=0),"",C148/B148)</f>
        <v/>
      </c>
      <c r="E148" s="10" t="str">
        <f aca="false">IF(A148="","",Kartyak!D143)</f>
        <v/>
      </c>
    </row>
    <row r="149" customFormat="false" ht="15" hidden="false" customHeight="false" outlineLevel="0" collapsed="false">
      <c r="A149" s="10" t="str">
        <f aca="false">IF(Kartyak!A144="","",Kartyak!A144)</f>
        <v/>
      </c>
      <c r="B149" s="10" t="str">
        <f aca="false">IF(A149="","",COUNTIFS(Statisztika!D:D,A149,Statisztika!C:C,"valasz"))</f>
        <v/>
      </c>
      <c r="C149" s="10" t="str">
        <f aca="false">IF(A149="","",COUNTIFS(Statisztika!D:D,A149,Statisztika!G:G,"NEM"))</f>
        <v/>
      </c>
      <c r="D149" s="11" t="str">
        <f aca="false">IF(OR(A149="",B149=0),"",C149/B149)</f>
        <v/>
      </c>
      <c r="E149" s="10" t="str">
        <f aca="false">IF(A149="","",Kartyak!D144)</f>
        <v/>
      </c>
    </row>
    <row r="150" customFormat="false" ht="15" hidden="false" customHeight="false" outlineLevel="0" collapsed="false">
      <c r="A150" s="10" t="str">
        <f aca="false">IF(Kartyak!A145="","",Kartyak!A145)</f>
        <v/>
      </c>
      <c r="B150" s="10" t="str">
        <f aca="false">IF(A150="","",COUNTIFS(Statisztika!D:D,A150,Statisztika!C:C,"valasz"))</f>
        <v/>
      </c>
      <c r="C150" s="10" t="str">
        <f aca="false">IF(A150="","",COUNTIFS(Statisztika!D:D,A150,Statisztika!G:G,"NEM"))</f>
        <v/>
      </c>
      <c r="D150" s="11" t="str">
        <f aca="false">IF(OR(A150="",B150=0),"",C150/B150)</f>
        <v/>
      </c>
      <c r="E150" s="10" t="str">
        <f aca="false">IF(A150="","",Kartyak!D145)</f>
        <v/>
      </c>
    </row>
    <row r="151" customFormat="false" ht="15" hidden="false" customHeight="false" outlineLevel="0" collapsed="false">
      <c r="A151" s="10" t="str">
        <f aca="false">IF(Kartyak!A146="","",Kartyak!A146)</f>
        <v/>
      </c>
      <c r="B151" s="10" t="str">
        <f aca="false">IF(A151="","",COUNTIFS(Statisztika!D:D,A151,Statisztika!C:C,"valasz"))</f>
        <v/>
      </c>
      <c r="C151" s="10" t="str">
        <f aca="false">IF(A151="","",COUNTIFS(Statisztika!D:D,A151,Statisztika!G:G,"NEM"))</f>
        <v/>
      </c>
      <c r="D151" s="11" t="str">
        <f aca="false">IF(OR(A151="",B151=0),"",C151/B151)</f>
        <v/>
      </c>
      <c r="E151" s="10" t="str">
        <f aca="false">IF(A151="","",Kartyak!D146)</f>
        <v/>
      </c>
    </row>
    <row r="152" customFormat="false" ht="15" hidden="false" customHeight="false" outlineLevel="0" collapsed="false">
      <c r="A152" s="10" t="str">
        <f aca="false">IF(Kartyak!A147="","",Kartyak!A147)</f>
        <v/>
      </c>
      <c r="B152" s="10" t="str">
        <f aca="false">IF(A152="","",COUNTIFS(Statisztika!D:D,A152,Statisztika!C:C,"valasz"))</f>
        <v/>
      </c>
      <c r="C152" s="10" t="str">
        <f aca="false">IF(A152="","",COUNTIFS(Statisztika!D:D,A152,Statisztika!G:G,"NEM"))</f>
        <v/>
      </c>
      <c r="D152" s="11" t="str">
        <f aca="false">IF(OR(A152="",B152=0),"",C152/B152)</f>
        <v/>
      </c>
      <c r="E152" s="10" t="str">
        <f aca="false">IF(A152="","",Kartyak!D147)</f>
        <v/>
      </c>
    </row>
    <row r="153" customFormat="false" ht="15" hidden="false" customHeight="false" outlineLevel="0" collapsed="false">
      <c r="A153" s="10" t="str">
        <f aca="false">IF(Kartyak!A148="","",Kartyak!A148)</f>
        <v/>
      </c>
      <c r="B153" s="10" t="str">
        <f aca="false">IF(A153="","",COUNTIFS(Statisztika!D:D,A153,Statisztika!C:C,"valasz"))</f>
        <v/>
      </c>
      <c r="C153" s="10" t="str">
        <f aca="false">IF(A153="","",COUNTIFS(Statisztika!D:D,A153,Statisztika!G:G,"NEM"))</f>
        <v/>
      </c>
      <c r="D153" s="11" t="str">
        <f aca="false">IF(OR(A153="",B153=0),"",C153/B153)</f>
        <v/>
      </c>
      <c r="E153" s="10" t="str">
        <f aca="false">IF(A153="","",Kartyak!D148)</f>
        <v/>
      </c>
    </row>
    <row r="154" customFormat="false" ht="15" hidden="false" customHeight="false" outlineLevel="0" collapsed="false">
      <c r="A154" s="10" t="str">
        <f aca="false">IF(Kartyak!A149="","",Kartyak!A149)</f>
        <v/>
      </c>
      <c r="B154" s="10" t="str">
        <f aca="false">IF(A154="","",COUNTIFS(Statisztika!D:D,A154,Statisztika!C:C,"valasz"))</f>
        <v/>
      </c>
      <c r="C154" s="10" t="str">
        <f aca="false">IF(A154="","",COUNTIFS(Statisztika!D:D,A154,Statisztika!G:G,"NEM"))</f>
        <v/>
      </c>
      <c r="D154" s="11" t="str">
        <f aca="false">IF(OR(A154="",B154=0),"",C154/B154)</f>
        <v/>
      </c>
      <c r="E154" s="10" t="str">
        <f aca="false">IF(A154="","",Kartyak!D149)</f>
        <v/>
      </c>
    </row>
    <row r="155" customFormat="false" ht="15" hidden="false" customHeight="false" outlineLevel="0" collapsed="false">
      <c r="A155" s="10" t="str">
        <f aca="false">IF(Kartyak!A150="","",Kartyak!A150)</f>
        <v/>
      </c>
      <c r="B155" s="10" t="str">
        <f aca="false">IF(A155="","",COUNTIFS(Statisztika!D:D,A155,Statisztika!C:C,"valasz"))</f>
        <v/>
      </c>
      <c r="C155" s="10" t="str">
        <f aca="false">IF(A155="","",COUNTIFS(Statisztika!D:D,A155,Statisztika!G:G,"NEM"))</f>
        <v/>
      </c>
      <c r="D155" s="11" t="str">
        <f aca="false">IF(OR(A155="",B155=0),"",C155/B155)</f>
        <v/>
      </c>
      <c r="E155" s="10" t="str">
        <f aca="false">IF(A155="","",Kartyak!D150)</f>
        <v/>
      </c>
    </row>
    <row r="156" customFormat="false" ht="15" hidden="false" customHeight="false" outlineLevel="0" collapsed="false">
      <c r="A156" s="10" t="str">
        <f aca="false">IF(Kartyak!A151="","",Kartyak!A151)</f>
        <v/>
      </c>
      <c r="B156" s="10" t="str">
        <f aca="false">IF(A156="","",COUNTIFS(Statisztika!D:D,A156,Statisztika!C:C,"valasz"))</f>
        <v/>
      </c>
      <c r="C156" s="10" t="str">
        <f aca="false">IF(A156="","",COUNTIFS(Statisztika!D:D,A156,Statisztika!G:G,"NEM"))</f>
        <v/>
      </c>
      <c r="D156" s="11" t="str">
        <f aca="false">IF(OR(A156="",B156=0),"",C156/B156)</f>
        <v/>
      </c>
      <c r="E156" s="10" t="str">
        <f aca="false">IF(A156="","",Kartyak!D151)</f>
        <v/>
      </c>
    </row>
    <row r="157" customFormat="false" ht="15" hidden="false" customHeight="false" outlineLevel="0" collapsed="false">
      <c r="A157" s="10" t="str">
        <f aca="false">IF(Csuszkak!A2="","",Csuszkak!A2)</f>
        <v>CS-001</v>
      </c>
      <c r="B157" s="10" t="n">
        <f aca="false">IF(A157="","",COUNTIFS(Statisztika!D:D,A157,Statisztika!C:C,"valasz"))</f>
        <v>0</v>
      </c>
      <c r="C157" s="10" t="n">
        <f aca="false">IF(A157="","",COUNTIFS(Statisztika!D:D,A157,Statisztika!G:G,"NEM"))</f>
        <v>0</v>
      </c>
      <c r="D157" s="11" t="str">
        <f aca="false">IF(OR(A157="",B157=0),"",C157/B157)</f>
        <v/>
      </c>
      <c r="E157" s="10" t="str">
        <f aca="false">IF(A157="","",Csuszkak!C2)</f>
        <v>Hány nő él endometriózissal Magyarországon?</v>
      </c>
    </row>
    <row r="158" customFormat="false" ht="15" hidden="false" customHeight="false" outlineLevel="0" collapsed="false">
      <c r="A158" s="10" t="str">
        <f aca="false">IF(Csuszkak!A3="","",Csuszkak!A3)</f>
        <v>CS-002</v>
      </c>
      <c r="B158" s="10" t="n">
        <f aca="false">IF(A158="","",COUNTIFS(Statisztika!D:D,A158,Statisztika!C:C,"valasz"))</f>
        <v>0</v>
      </c>
      <c r="C158" s="10" t="n">
        <f aca="false">IF(A158="","",COUNTIFS(Statisztika!D:D,A158,Statisztika!G:G,"NEM"))</f>
        <v>0</v>
      </c>
      <c r="D158" s="11" t="str">
        <f aca="false">IF(OR(A158="",B158=0),"",C158/B158)</f>
        <v/>
      </c>
      <c r="E158" s="10" t="str">
        <f aca="false">IF(A158="","",Csuszkak!C3)</f>
        <v>Hány év telik el átlagosan a diagnózisig Magyarországon?</v>
      </c>
    </row>
    <row r="159" customFormat="false" ht="15" hidden="false" customHeight="false" outlineLevel="0" collapsed="false">
      <c r="A159" s="10" t="str">
        <f aca="false">IF(Csuszkak!A4="","",Csuszkak!A4)</f>
        <v>CS-003</v>
      </c>
      <c r="B159" s="10" t="n">
        <f aca="false">IF(A159="","",COUNTIFS(Statisztika!D:D,A159,Statisztika!C:C,"valasz"))</f>
        <v>0</v>
      </c>
      <c r="C159" s="10" t="n">
        <f aca="false">IF(A159="","",COUNTIFS(Statisztika!D:D,A159,Statisztika!G:G,"NEM"))</f>
        <v>0</v>
      </c>
      <c r="D159" s="11" t="str">
        <f aca="false">IF(OR(A159="",B159=0),"",C159/B159)</f>
        <v/>
      </c>
      <c r="E159" s="10" t="str">
        <f aca="false">IF(A159="","",Csuszkak!C4)</f>
        <v>A fájdalmas menstruációval élők hány százalékánál áll endometriózis a háttérben?</v>
      </c>
    </row>
    <row r="160" customFormat="false" ht="15" hidden="false" customHeight="false" outlineLevel="0" collapsed="false">
      <c r="A160" s="10" t="str">
        <f aca="false">IF(Csuszkak!A5="","",Csuszkak!A5)</f>
        <v>CS-004</v>
      </c>
      <c r="B160" s="10" t="n">
        <f aca="false">IF(A160="","",COUNTIFS(Statisztika!D:D,A160,Statisztika!C:C,"valasz"))</f>
        <v>0</v>
      </c>
      <c r="C160" s="10" t="n">
        <f aca="false">IF(A160="","",COUNTIFS(Statisztika!D:D,A160,Statisztika!G:G,"NEM"))</f>
        <v>0</v>
      </c>
      <c r="D160" s="11" t="str">
        <f aca="false">IF(OR(A160="",B160=0),"",C160/B160)</f>
        <v/>
      </c>
      <c r="E160" s="10" t="str">
        <f aca="false">IF(A160="","",Csuszkak!C5)</f>
        <v>Percenként hányszor húzódhat össze a méh menstruáció alatt?</v>
      </c>
    </row>
    <row r="161" customFormat="false" ht="15" hidden="false" customHeight="false" outlineLevel="0" collapsed="false">
      <c r="A161" s="10" t="str">
        <f aca="false">IF(Csuszkak!A6="","",Csuszkak!A6)</f>
        <v>CS-005</v>
      </c>
      <c r="B161" s="10" t="n">
        <f aca="false">IF(A161="","",COUNTIFS(Statisztika!D:D,A161,Statisztika!C:C,"valasz"))</f>
        <v>0</v>
      </c>
      <c r="C161" s="10" t="n">
        <f aca="false">IF(A161="","",COUNTIFS(Statisztika!D:D,A161,Statisztika!G:G,"NEM"))</f>
        <v>0</v>
      </c>
      <c r="D161" s="11" t="str">
        <f aca="false">IF(OR(A161="",B161=0),"",C161/B161)</f>
        <v/>
      </c>
      <c r="E161" s="10" t="str">
        <f aca="false">IF(A161="","",Csuszkak!C6)</f>
        <v>A lányok hány százalékánál jön meg 15 éves korig az első menstruáció?</v>
      </c>
    </row>
    <row r="162" customFormat="false" ht="15" hidden="false" customHeight="false" outlineLevel="0" collapsed="false">
      <c r="A162" s="10" t="str">
        <f aca="false">IF(Csuszkak!A7="","",Csuszkak!A7)</f>
        <v/>
      </c>
      <c r="B162" s="10" t="str">
        <f aca="false">IF(A162="","",COUNTIFS(Statisztika!D:D,A162,Statisztika!C:C,"valasz"))</f>
        <v/>
      </c>
      <c r="C162" s="10" t="str">
        <f aca="false">IF(A162="","",COUNTIFS(Statisztika!D:D,A162,Statisztika!G:G,"NEM"))</f>
        <v/>
      </c>
      <c r="D162" s="11" t="str">
        <f aca="false">IF(OR(A162="",B162=0),"",C162/B162)</f>
        <v/>
      </c>
      <c r="E162" s="10" t="str">
        <f aca="false">IF(A162="","",Csuszkak!C7)</f>
        <v/>
      </c>
    </row>
    <row r="163" customFormat="false" ht="15" hidden="false" customHeight="false" outlineLevel="0" collapsed="false">
      <c r="A163" s="10" t="str">
        <f aca="false">IF(Csuszkak!A8="","",Csuszkak!A8)</f>
        <v/>
      </c>
      <c r="B163" s="10" t="str">
        <f aca="false">IF(A163="","",COUNTIFS(Statisztika!D:D,A163,Statisztika!C:C,"valasz"))</f>
        <v/>
      </c>
      <c r="C163" s="10" t="str">
        <f aca="false">IF(A163="","",COUNTIFS(Statisztika!D:D,A163,Statisztika!G:G,"NEM"))</f>
        <v/>
      </c>
      <c r="D163" s="11" t="str">
        <f aca="false">IF(OR(A163="",B163=0),"",C163/B163)</f>
        <v/>
      </c>
      <c r="E163" s="10" t="str">
        <f aca="false">IF(A163="","",Csuszkak!C8)</f>
        <v/>
      </c>
    </row>
    <row r="164" customFormat="false" ht="15" hidden="false" customHeight="false" outlineLevel="0" collapsed="false">
      <c r="A164" s="10" t="str">
        <f aca="false">IF(Csuszkak!A9="","",Csuszkak!A9)</f>
        <v/>
      </c>
      <c r="B164" s="10" t="str">
        <f aca="false">IF(A164="","",COUNTIFS(Statisztika!D:D,A164,Statisztika!C:C,"valasz"))</f>
        <v/>
      </c>
      <c r="C164" s="10" t="str">
        <f aca="false">IF(A164="","",COUNTIFS(Statisztika!D:D,A164,Statisztika!G:G,"NEM"))</f>
        <v/>
      </c>
      <c r="D164" s="11" t="str">
        <f aca="false">IF(OR(A164="",B164=0),"",C164/B164)</f>
        <v/>
      </c>
      <c r="E164" s="10" t="str">
        <f aca="false">IF(A164="","",Csuszkak!C9)</f>
        <v/>
      </c>
    </row>
    <row r="165" customFormat="false" ht="15" hidden="false" customHeight="false" outlineLevel="0" collapsed="false">
      <c r="A165" s="10" t="str">
        <f aca="false">IF(Csuszkak!A10="","",Csuszkak!A10)</f>
        <v/>
      </c>
      <c r="B165" s="10" t="str">
        <f aca="false">IF(A165="","",COUNTIFS(Statisztika!D:D,A165,Statisztika!C:C,"valasz"))</f>
        <v/>
      </c>
      <c r="C165" s="10" t="str">
        <f aca="false">IF(A165="","",COUNTIFS(Statisztika!D:D,A165,Statisztika!G:G,"NEM"))</f>
        <v/>
      </c>
      <c r="D165" s="11" t="str">
        <f aca="false">IF(OR(A165="",B165=0),"",C165/B165)</f>
        <v/>
      </c>
      <c r="E165" s="10" t="str">
        <f aca="false">IF(A165="","",Csuszkak!C10)</f>
        <v/>
      </c>
    </row>
    <row r="166" customFormat="false" ht="15" hidden="false" customHeight="false" outlineLevel="0" collapsed="false">
      <c r="A166" s="10" t="str">
        <f aca="false">IF(Csuszkak!A11="","",Csuszkak!A11)</f>
        <v/>
      </c>
      <c r="B166" s="10" t="str">
        <f aca="false">IF(A166="","",COUNTIFS(Statisztika!D:D,A166,Statisztika!C:C,"valasz"))</f>
        <v/>
      </c>
      <c r="C166" s="10" t="str">
        <f aca="false">IF(A166="","",COUNTIFS(Statisztika!D:D,A166,Statisztika!G:G,"NEM"))</f>
        <v/>
      </c>
      <c r="D166" s="11" t="str">
        <f aca="false">IF(OR(A166="",B166=0),"",C166/B166)</f>
        <v/>
      </c>
      <c r="E166" s="10" t="str">
        <f aca="false">IF(A166="","",Csuszkak!C11)</f>
        <v/>
      </c>
    </row>
    <row r="167" customFormat="false" ht="15" hidden="false" customHeight="false" outlineLevel="0" collapsed="false">
      <c r="A167" s="10" t="str">
        <f aca="false">IF(Csuszkak!A12="","",Csuszkak!A12)</f>
        <v/>
      </c>
      <c r="B167" s="10" t="str">
        <f aca="false">IF(A167="","",COUNTIFS(Statisztika!D:D,A167,Statisztika!C:C,"valasz"))</f>
        <v/>
      </c>
      <c r="C167" s="10" t="str">
        <f aca="false">IF(A167="","",COUNTIFS(Statisztika!D:D,A167,Statisztika!G:G,"NEM"))</f>
        <v/>
      </c>
      <c r="D167" s="11" t="str">
        <f aca="false">IF(OR(A167="",B167=0),"",C167/B167)</f>
        <v/>
      </c>
      <c r="E167" s="10" t="str">
        <f aca="false">IF(A167="","",Csuszkak!C12)</f>
        <v/>
      </c>
    </row>
    <row r="168" customFormat="false" ht="15" hidden="false" customHeight="false" outlineLevel="0" collapsed="false">
      <c r="A168" s="10" t="str">
        <f aca="false">IF(Csuszkak!A13="","",Csuszkak!A13)</f>
        <v/>
      </c>
      <c r="B168" s="10" t="str">
        <f aca="false">IF(A168="","",COUNTIFS(Statisztika!D:D,A168,Statisztika!C:C,"valasz"))</f>
        <v/>
      </c>
      <c r="C168" s="10" t="str">
        <f aca="false">IF(A168="","",COUNTIFS(Statisztika!D:D,A168,Statisztika!G:G,"NEM"))</f>
        <v/>
      </c>
      <c r="D168" s="11" t="str">
        <f aca="false">IF(OR(A168="",B168=0),"",C168/B168)</f>
        <v/>
      </c>
      <c r="E168" s="10" t="str">
        <f aca="false">IF(A168="","",Csuszkak!C13)</f>
        <v/>
      </c>
    </row>
    <row r="169" customFormat="false" ht="15" hidden="false" customHeight="false" outlineLevel="0" collapsed="false">
      <c r="A169" s="10" t="str">
        <f aca="false">IF(Csuszkak!A14="","",Csuszkak!A14)</f>
        <v/>
      </c>
      <c r="B169" s="10" t="str">
        <f aca="false">IF(A169="","",COUNTIFS(Statisztika!D:D,A169,Statisztika!C:C,"valasz"))</f>
        <v/>
      </c>
      <c r="C169" s="10" t="str">
        <f aca="false">IF(A169="","",COUNTIFS(Statisztika!D:D,A169,Statisztika!G:G,"NEM"))</f>
        <v/>
      </c>
      <c r="D169" s="11" t="str">
        <f aca="false">IF(OR(A169="",B169=0),"",C169/B169)</f>
        <v/>
      </c>
      <c r="E169" s="10" t="str">
        <f aca="false">IF(A169="","",Csuszkak!C14)</f>
        <v/>
      </c>
    </row>
    <row r="170" customFormat="false" ht="15" hidden="false" customHeight="false" outlineLevel="0" collapsed="false">
      <c r="A170" s="10" t="str">
        <f aca="false">IF(Csuszkak!A15="","",Csuszkak!A15)</f>
        <v/>
      </c>
      <c r="B170" s="10" t="str">
        <f aca="false">IF(A170="","",COUNTIFS(Statisztika!D:D,A170,Statisztika!C:C,"valasz"))</f>
        <v/>
      </c>
      <c r="C170" s="10" t="str">
        <f aca="false">IF(A170="","",COUNTIFS(Statisztika!D:D,A170,Statisztika!G:G,"NEM"))</f>
        <v/>
      </c>
      <c r="D170" s="11" t="str">
        <f aca="false">IF(OR(A170="",B170=0),"",C170/B170)</f>
        <v/>
      </c>
      <c r="E170" s="10" t="str">
        <f aca="false">IF(A170="","",Csuszkak!C15)</f>
        <v/>
      </c>
    </row>
    <row r="171" customFormat="false" ht="15" hidden="false" customHeight="false" outlineLevel="0" collapsed="false">
      <c r="A171" s="10" t="str">
        <f aca="false">IF(Csuszkak!A16="","",Csuszkak!A16)</f>
        <v/>
      </c>
      <c r="B171" s="10" t="str">
        <f aca="false">IF(A171="","",COUNTIFS(Statisztika!D:D,A171,Statisztika!C:C,"valasz"))</f>
        <v/>
      </c>
      <c r="C171" s="10" t="str">
        <f aca="false">IF(A171="","",COUNTIFS(Statisztika!D:D,A171,Statisztika!G:G,"NEM"))</f>
        <v/>
      </c>
      <c r="D171" s="11" t="str">
        <f aca="false">IF(OR(A171="",B171=0),"",C171/B171)</f>
        <v/>
      </c>
      <c r="E171" s="10" t="str">
        <f aca="false">IF(A171="","",Csuszkak!C16)</f>
        <v/>
      </c>
    </row>
    <row r="172" customFormat="false" ht="15" hidden="false" customHeight="false" outlineLevel="0" collapsed="false">
      <c r="A172" s="10" t="str">
        <f aca="false">IF(Csuszkak!A17="","",Csuszkak!A17)</f>
        <v/>
      </c>
      <c r="B172" s="10" t="str">
        <f aca="false">IF(A172="","",COUNTIFS(Statisztika!D:D,A172,Statisztika!C:C,"valasz"))</f>
        <v/>
      </c>
      <c r="C172" s="10" t="str">
        <f aca="false">IF(A172="","",COUNTIFS(Statisztika!D:D,A172,Statisztika!G:G,"NEM"))</f>
        <v/>
      </c>
      <c r="D172" s="11" t="str">
        <f aca="false">IF(OR(A172="",B172=0),"",C172/B172)</f>
        <v/>
      </c>
      <c r="E172" s="10" t="str">
        <f aca="false">IF(A172="","",Csuszkak!C17)</f>
        <v/>
      </c>
    </row>
    <row r="173" customFormat="false" ht="15" hidden="false" customHeight="false" outlineLevel="0" collapsed="false">
      <c r="A173" s="10" t="str">
        <f aca="false">IF(Csuszkak!A18="","",Csuszkak!A18)</f>
        <v/>
      </c>
      <c r="B173" s="10" t="str">
        <f aca="false">IF(A173="","",COUNTIFS(Statisztika!D:D,A173,Statisztika!C:C,"valasz"))</f>
        <v/>
      </c>
      <c r="C173" s="10" t="str">
        <f aca="false">IF(A173="","",COUNTIFS(Statisztika!D:D,A173,Statisztika!G:G,"NEM"))</f>
        <v/>
      </c>
      <c r="D173" s="11" t="str">
        <f aca="false">IF(OR(A173="",B173=0),"",C173/B173)</f>
        <v/>
      </c>
      <c r="E173" s="10" t="str">
        <f aca="false">IF(A173="","",Csuszkak!C18)</f>
        <v/>
      </c>
    </row>
    <row r="174" customFormat="false" ht="15" hidden="false" customHeight="false" outlineLevel="0" collapsed="false">
      <c r="A174" s="10" t="str">
        <f aca="false">IF(Csuszkak!A19="","",Csuszkak!A19)</f>
        <v/>
      </c>
      <c r="B174" s="10" t="str">
        <f aca="false">IF(A174="","",COUNTIFS(Statisztika!D:D,A174,Statisztika!C:C,"valasz"))</f>
        <v/>
      </c>
      <c r="C174" s="10" t="str">
        <f aca="false">IF(A174="","",COUNTIFS(Statisztika!D:D,A174,Statisztika!G:G,"NEM"))</f>
        <v/>
      </c>
      <c r="D174" s="11" t="str">
        <f aca="false">IF(OR(A174="",B174=0),"",C174/B174)</f>
        <v/>
      </c>
      <c r="E174" s="10" t="str">
        <f aca="false">IF(A174="","",Csuszkak!C19)</f>
        <v/>
      </c>
    </row>
    <row r="175" customFormat="false" ht="15" hidden="false" customHeight="false" outlineLevel="0" collapsed="false">
      <c r="A175" s="10" t="str">
        <f aca="false">IF(Csuszkak!A20="","",Csuszkak!A20)</f>
        <v/>
      </c>
      <c r="B175" s="10" t="str">
        <f aca="false">IF(A175="","",COUNTIFS(Statisztika!D:D,A175,Statisztika!C:C,"valasz"))</f>
        <v/>
      </c>
      <c r="C175" s="10" t="str">
        <f aca="false">IF(A175="","",COUNTIFS(Statisztika!D:D,A175,Statisztika!G:G,"NEM"))</f>
        <v/>
      </c>
      <c r="D175" s="11" t="str">
        <f aca="false">IF(OR(A175="",B175=0),"",C175/B175)</f>
        <v/>
      </c>
      <c r="E175" s="10" t="str">
        <f aca="false">IF(A175="","",Csuszkak!C20)</f>
        <v/>
      </c>
    </row>
    <row r="176" customFormat="false" ht="15" hidden="false" customHeight="false" outlineLevel="0" collapsed="false">
      <c r="A176" s="10" t="str">
        <f aca="false">IF(Csuszkak!A21="","",Csuszkak!A21)</f>
        <v/>
      </c>
      <c r="B176" s="10" t="str">
        <f aca="false">IF(A176="","",COUNTIFS(Statisztika!D:D,A176,Statisztika!C:C,"valasz"))</f>
        <v/>
      </c>
      <c r="C176" s="10" t="str">
        <f aca="false">IF(A176="","",COUNTIFS(Statisztika!D:D,A176,Statisztika!G:G,"NEM"))</f>
        <v/>
      </c>
      <c r="D176" s="11" t="str">
        <f aca="false">IF(OR(A176="",B176=0),"",C176/B176)</f>
        <v/>
      </c>
      <c r="E176" s="10" t="str">
        <f aca="false">IF(A176="","",Csuszkak!C21)</f>
        <v/>
      </c>
    </row>
    <row r="177" customFormat="false" ht="15" hidden="false" customHeight="false" outlineLevel="0" collapsed="false">
      <c r="A177" s="10" t="str">
        <f aca="false">IF(Csuszkak!A22="","",Csuszkak!A22)</f>
        <v/>
      </c>
      <c r="B177" s="10" t="str">
        <f aca="false">IF(A177="","",COUNTIFS(Statisztika!D:D,A177,Statisztika!C:C,"valasz"))</f>
        <v/>
      </c>
      <c r="C177" s="10" t="str">
        <f aca="false">IF(A177="","",COUNTIFS(Statisztika!D:D,A177,Statisztika!G:G,"NEM"))</f>
        <v/>
      </c>
      <c r="D177" s="11" t="str">
        <f aca="false">IF(OR(A177="",B177=0),"",C177/B177)</f>
        <v/>
      </c>
      <c r="E177" s="10" t="str">
        <f aca="false">IF(A177="","",Csuszkak!C22)</f>
        <v/>
      </c>
    </row>
    <row r="178" customFormat="false" ht="15" hidden="false" customHeight="false" outlineLevel="0" collapsed="false">
      <c r="A178" s="10" t="str">
        <f aca="false">IF(Csuszkak!A23="","",Csuszkak!A23)</f>
        <v/>
      </c>
      <c r="B178" s="10" t="str">
        <f aca="false">IF(A178="","",COUNTIFS(Statisztika!D:D,A178,Statisztika!C:C,"valasz"))</f>
        <v/>
      </c>
      <c r="C178" s="10" t="str">
        <f aca="false">IF(A178="","",COUNTIFS(Statisztika!D:D,A178,Statisztika!G:G,"NEM"))</f>
        <v/>
      </c>
      <c r="D178" s="11" t="str">
        <f aca="false">IF(OR(A178="",B178=0),"",C178/B178)</f>
        <v/>
      </c>
      <c r="E178" s="10" t="str">
        <f aca="false">IF(A178="","",Csuszkak!C23)</f>
        <v/>
      </c>
    </row>
    <row r="179" customFormat="false" ht="15" hidden="false" customHeight="false" outlineLevel="0" collapsed="false">
      <c r="A179" s="10" t="str">
        <f aca="false">IF(Csuszkak!A24="","",Csuszkak!A24)</f>
        <v/>
      </c>
      <c r="B179" s="10" t="str">
        <f aca="false">IF(A179="","",COUNTIFS(Statisztika!D:D,A179,Statisztika!C:C,"valasz"))</f>
        <v/>
      </c>
      <c r="C179" s="10" t="str">
        <f aca="false">IF(A179="","",COUNTIFS(Statisztika!D:D,A179,Statisztika!G:G,"NEM"))</f>
        <v/>
      </c>
      <c r="D179" s="11" t="str">
        <f aca="false">IF(OR(A179="",B179=0),"",C179/B179)</f>
        <v/>
      </c>
      <c r="E179" s="10" t="str">
        <f aca="false">IF(A179="","",Csuszkak!C24)</f>
        <v/>
      </c>
    </row>
    <row r="180" customFormat="false" ht="15" hidden="false" customHeight="false" outlineLevel="0" collapsed="false">
      <c r="A180" s="10" t="str">
        <f aca="false">IF(Csuszkak!A25="","",Csuszkak!A25)</f>
        <v/>
      </c>
      <c r="B180" s="10" t="str">
        <f aca="false">IF(A180="","",COUNTIFS(Statisztika!D:D,A180,Statisztika!C:C,"valasz"))</f>
        <v/>
      </c>
      <c r="C180" s="10" t="str">
        <f aca="false">IF(A180="","",COUNTIFS(Statisztika!D:D,A180,Statisztika!G:G,"NEM"))</f>
        <v/>
      </c>
      <c r="D180" s="11" t="str">
        <f aca="false">IF(OR(A180="",B180=0),"",C180/B180)</f>
        <v/>
      </c>
      <c r="E180" s="10" t="str">
        <f aca="false">IF(A180="","",Csuszkak!C25)</f>
        <v/>
      </c>
    </row>
    <row r="181" customFormat="false" ht="15" hidden="false" customHeight="false" outlineLevel="0" collapsed="false">
      <c r="A181" s="10" t="str">
        <f aca="false">IF(Csuszkak!A26="","",Csuszkak!A26)</f>
        <v/>
      </c>
      <c r="B181" s="10" t="str">
        <f aca="false">IF(A181="","",COUNTIFS(Statisztika!D:D,A181,Statisztika!C:C,"valasz"))</f>
        <v/>
      </c>
      <c r="C181" s="10" t="str">
        <f aca="false">IF(A181="","",COUNTIFS(Statisztika!D:D,A181,Statisztika!G:G,"NEM"))</f>
        <v/>
      </c>
      <c r="D181" s="11" t="str">
        <f aca="false">IF(OR(A181="",B181=0),"",C181/B181)</f>
        <v/>
      </c>
      <c r="E181" s="10" t="str">
        <f aca="false">IF(A181="","",Csuszkak!C26)</f>
        <v/>
      </c>
    </row>
    <row r="182" customFormat="false" ht="15" hidden="false" customHeight="false" outlineLevel="0" collapsed="false">
      <c r="A182" s="10" t="str">
        <f aca="false">IF(Csuszkak!A27="","",Csuszkak!A27)</f>
        <v/>
      </c>
      <c r="B182" s="10" t="str">
        <f aca="false">IF(A182="","",COUNTIFS(Statisztika!D:D,A182,Statisztika!C:C,"valasz"))</f>
        <v/>
      </c>
      <c r="C182" s="10" t="str">
        <f aca="false">IF(A182="","",COUNTIFS(Statisztika!D:D,A182,Statisztika!G:G,"NEM"))</f>
        <v/>
      </c>
      <c r="D182" s="11" t="str">
        <f aca="false">IF(OR(A182="",B182=0),"",C182/B182)</f>
        <v/>
      </c>
      <c r="E182" s="10" t="str">
        <f aca="false">IF(A182="","",Csuszkak!C27)</f>
        <v/>
      </c>
    </row>
    <row r="183" customFormat="false" ht="15" hidden="false" customHeight="false" outlineLevel="0" collapsed="false">
      <c r="A183" s="10" t="str">
        <f aca="false">IF(Csuszkak!A28="","",Csuszkak!A28)</f>
        <v/>
      </c>
      <c r="B183" s="10" t="str">
        <f aca="false">IF(A183="","",COUNTIFS(Statisztika!D:D,A183,Statisztika!C:C,"valasz"))</f>
        <v/>
      </c>
      <c r="C183" s="10" t="str">
        <f aca="false">IF(A183="","",COUNTIFS(Statisztika!D:D,A183,Statisztika!G:G,"NEM"))</f>
        <v/>
      </c>
      <c r="D183" s="11" t="str">
        <f aca="false">IF(OR(A183="",B183=0),"",C183/B183)</f>
        <v/>
      </c>
      <c r="E183" s="10" t="str">
        <f aca="false">IF(A183="","",Csuszkak!C28)</f>
        <v/>
      </c>
    </row>
    <row r="184" customFormat="false" ht="15" hidden="false" customHeight="false" outlineLevel="0" collapsed="false">
      <c r="A184" s="10" t="str">
        <f aca="false">IF(Csuszkak!A29="","",Csuszkak!A29)</f>
        <v/>
      </c>
      <c r="B184" s="10" t="str">
        <f aca="false">IF(A184="","",COUNTIFS(Statisztika!D:D,A184,Statisztika!C:C,"valasz"))</f>
        <v/>
      </c>
      <c r="C184" s="10" t="str">
        <f aca="false">IF(A184="","",COUNTIFS(Statisztika!D:D,A184,Statisztika!G:G,"NEM"))</f>
        <v/>
      </c>
      <c r="D184" s="11" t="str">
        <f aca="false">IF(OR(A184="",B184=0),"",C184/B184)</f>
        <v/>
      </c>
      <c r="E184" s="10" t="str">
        <f aca="false">IF(A184="","",Csuszkak!C29)</f>
        <v/>
      </c>
    </row>
    <row r="185" customFormat="false" ht="15" hidden="false" customHeight="false" outlineLevel="0" collapsed="false">
      <c r="A185" s="10" t="str">
        <f aca="false">IF(Csuszkak!A30="","",Csuszkak!A30)</f>
        <v/>
      </c>
      <c r="B185" s="10" t="str">
        <f aca="false">IF(A185="","",COUNTIFS(Statisztika!D:D,A185,Statisztika!C:C,"valasz"))</f>
        <v/>
      </c>
      <c r="C185" s="10" t="str">
        <f aca="false">IF(A185="","",COUNTIFS(Statisztika!D:D,A185,Statisztika!G:G,"NEM"))</f>
        <v/>
      </c>
      <c r="D185" s="11" t="str">
        <f aca="false">IF(OR(A185="",B185=0),"",C185/B185)</f>
        <v/>
      </c>
      <c r="E185" s="10" t="str">
        <f aca="false">IF(A185="","",Csuszkak!C30)</f>
        <v/>
      </c>
    </row>
    <row r="186" customFormat="false" ht="15" hidden="false" customHeight="false" outlineLevel="0" collapsed="false">
      <c r="A186" s="10" t="str">
        <f aca="false">IF(Csuszkak!A31="","",Csuszkak!A31)</f>
        <v/>
      </c>
      <c r="B186" s="10" t="str">
        <f aca="false">IF(A186="","",COUNTIFS(Statisztika!D:D,A186,Statisztika!C:C,"valasz"))</f>
        <v/>
      </c>
      <c r="C186" s="10" t="str">
        <f aca="false">IF(A186="","",COUNTIFS(Statisztika!D:D,A186,Statisztika!G:G,"NEM"))</f>
        <v/>
      </c>
      <c r="D186" s="11" t="str">
        <f aca="false">IF(OR(A186="",B186=0),"",C186/B186)</f>
        <v/>
      </c>
      <c r="E186" s="10" t="str">
        <f aca="false">IF(A186="","",Csuszkak!C31)</f>
        <v/>
      </c>
    </row>
    <row r="187" customFormat="false" ht="15" hidden="false" customHeight="false" outlineLevel="0" collapsed="false">
      <c r="A187" s="10" t="str">
        <f aca="false">IF(Csuszkak!A32="","",Csuszkak!A32)</f>
        <v/>
      </c>
      <c r="B187" s="10" t="str">
        <f aca="false">IF(A187="","",COUNTIFS(Statisztika!D:D,A187,Statisztika!C:C,"valasz"))</f>
        <v/>
      </c>
      <c r="C187" s="10" t="str">
        <f aca="false">IF(A187="","",COUNTIFS(Statisztika!D:D,A187,Statisztika!G:G,"NEM"))</f>
        <v/>
      </c>
      <c r="D187" s="11" t="str">
        <f aca="false">IF(OR(A187="",B187=0),"",C187/B187)</f>
        <v/>
      </c>
      <c r="E187" s="10" t="str">
        <f aca="false">IF(A187="","",Csuszkak!C32)</f>
        <v/>
      </c>
    </row>
    <row r="188" customFormat="false" ht="15" hidden="false" customHeight="false" outlineLevel="0" collapsed="false">
      <c r="A188" s="10" t="str">
        <f aca="false">IF(Csuszkak!A33="","",Csuszkak!A33)</f>
        <v/>
      </c>
      <c r="B188" s="10" t="str">
        <f aca="false">IF(A188="","",COUNTIFS(Statisztika!D:D,A188,Statisztika!C:C,"valasz"))</f>
        <v/>
      </c>
      <c r="C188" s="10" t="str">
        <f aca="false">IF(A188="","",COUNTIFS(Statisztika!D:D,A188,Statisztika!G:G,"NEM"))</f>
        <v/>
      </c>
      <c r="D188" s="11" t="str">
        <f aca="false">IF(OR(A188="",B188=0),"",C188/B188)</f>
        <v/>
      </c>
      <c r="E188" s="10" t="str">
        <f aca="false">IF(A188="","",Csuszkak!C33)</f>
        <v/>
      </c>
    </row>
    <row r="189" customFormat="false" ht="15" hidden="false" customHeight="false" outlineLevel="0" collapsed="false">
      <c r="A189" s="10" t="str">
        <f aca="false">IF(Csuszkak!A34="","",Csuszkak!A34)</f>
        <v/>
      </c>
      <c r="B189" s="10" t="str">
        <f aca="false">IF(A189="","",COUNTIFS(Statisztika!D:D,A189,Statisztika!C:C,"valasz"))</f>
        <v/>
      </c>
      <c r="C189" s="10" t="str">
        <f aca="false">IF(A189="","",COUNTIFS(Statisztika!D:D,A189,Statisztika!G:G,"NEM"))</f>
        <v/>
      </c>
      <c r="D189" s="11" t="str">
        <f aca="false">IF(OR(A189="",B189=0),"",C189/B189)</f>
        <v/>
      </c>
      <c r="E189" s="10" t="str">
        <f aca="false">IF(A189="","",Csuszkak!C34)</f>
        <v/>
      </c>
    </row>
    <row r="190" customFormat="false" ht="15" hidden="false" customHeight="false" outlineLevel="0" collapsed="false">
      <c r="A190" s="10" t="str">
        <f aca="false">IF(Csuszkak!A35="","",Csuszkak!A35)</f>
        <v/>
      </c>
      <c r="B190" s="10" t="str">
        <f aca="false">IF(A190="","",COUNTIFS(Statisztika!D:D,A190,Statisztika!C:C,"valasz"))</f>
        <v/>
      </c>
      <c r="C190" s="10" t="str">
        <f aca="false">IF(A190="","",COUNTIFS(Statisztika!D:D,A190,Statisztika!G:G,"NEM"))</f>
        <v/>
      </c>
      <c r="D190" s="11" t="str">
        <f aca="false">IF(OR(A190="",B190=0),"",C190/B190)</f>
        <v/>
      </c>
      <c r="E190" s="10" t="str">
        <f aca="false">IF(A190="","",Csuszkak!C35)</f>
        <v/>
      </c>
    </row>
    <row r="191" customFormat="false" ht="15" hidden="false" customHeight="false" outlineLevel="0" collapsed="false">
      <c r="A191" s="10" t="str">
        <f aca="false">IF(Csuszkak!A36="","",Csuszkak!A36)</f>
        <v/>
      </c>
      <c r="B191" s="10" t="str">
        <f aca="false">IF(A191="","",COUNTIFS(Statisztika!D:D,A191,Statisztika!C:C,"valasz"))</f>
        <v/>
      </c>
      <c r="C191" s="10" t="str">
        <f aca="false">IF(A191="","",COUNTIFS(Statisztika!D:D,A191,Statisztika!G:G,"NEM"))</f>
        <v/>
      </c>
      <c r="D191" s="11" t="str">
        <f aca="false">IF(OR(A191="",B191=0),"",C191/B191)</f>
        <v/>
      </c>
      <c r="E191" s="10" t="str">
        <f aca="false">IF(A191="","",Csuszkak!C36)</f>
        <v/>
      </c>
    </row>
    <row r="192" customFormat="false" ht="15" hidden="false" customHeight="false" outlineLevel="0" collapsed="false">
      <c r="A192" s="10" t="str">
        <f aca="false">IF(Csuszkak!A37="","",Csuszkak!A37)</f>
        <v/>
      </c>
      <c r="B192" s="10" t="str">
        <f aca="false">IF(A192="","",COUNTIFS(Statisztika!D:D,A192,Statisztika!C:C,"valasz"))</f>
        <v/>
      </c>
      <c r="C192" s="10" t="str">
        <f aca="false">IF(A192="","",COUNTIFS(Statisztika!D:D,A192,Statisztika!G:G,"NEM"))</f>
        <v/>
      </c>
      <c r="D192" s="11" t="str">
        <f aca="false">IF(OR(A192="",B192=0),"",C192/B192)</f>
        <v/>
      </c>
      <c r="E192" s="10" t="str">
        <f aca="false">IF(A192="","",Csuszkak!C37)</f>
        <v/>
      </c>
    </row>
    <row r="193" customFormat="false" ht="15" hidden="false" customHeight="false" outlineLevel="0" collapsed="false">
      <c r="A193" s="10" t="str">
        <f aca="false">IF(Csuszkak!A38="","",Csuszkak!A38)</f>
        <v/>
      </c>
      <c r="B193" s="10" t="str">
        <f aca="false">IF(A193="","",COUNTIFS(Statisztika!D:D,A193,Statisztika!C:C,"valasz"))</f>
        <v/>
      </c>
      <c r="C193" s="10" t="str">
        <f aca="false">IF(A193="","",COUNTIFS(Statisztika!D:D,A193,Statisztika!G:G,"NEM"))</f>
        <v/>
      </c>
      <c r="D193" s="11" t="str">
        <f aca="false">IF(OR(A193="",B193=0),"",C193/B193)</f>
        <v/>
      </c>
      <c r="E193" s="10" t="str">
        <f aca="false">IF(A193="","",Csuszkak!C38)</f>
        <v/>
      </c>
    </row>
    <row r="194" customFormat="false" ht="15" hidden="false" customHeight="false" outlineLevel="0" collapsed="false">
      <c r="A194" s="10" t="str">
        <f aca="false">IF(Csuszkak!A39="","",Csuszkak!A39)</f>
        <v/>
      </c>
      <c r="B194" s="10" t="str">
        <f aca="false">IF(A194="","",COUNTIFS(Statisztika!D:D,A194,Statisztika!C:C,"valasz"))</f>
        <v/>
      </c>
      <c r="C194" s="10" t="str">
        <f aca="false">IF(A194="","",COUNTIFS(Statisztika!D:D,A194,Statisztika!G:G,"NEM"))</f>
        <v/>
      </c>
      <c r="D194" s="11" t="str">
        <f aca="false">IF(OR(A194="",B194=0),"",C194/B194)</f>
        <v/>
      </c>
      <c r="E194" s="10" t="str">
        <f aca="false">IF(A194="","",Csuszkak!C39)</f>
        <v/>
      </c>
    </row>
    <row r="195" customFormat="false" ht="15" hidden="false" customHeight="false" outlineLevel="0" collapsed="false">
      <c r="A195" s="10" t="str">
        <f aca="false">IF(Csuszkak!A40="","",Csuszkak!A40)</f>
        <v/>
      </c>
      <c r="B195" s="10" t="str">
        <f aca="false">IF(A195="","",COUNTIFS(Statisztika!D:D,A195,Statisztika!C:C,"valasz"))</f>
        <v/>
      </c>
      <c r="C195" s="10" t="str">
        <f aca="false">IF(A195="","",COUNTIFS(Statisztika!D:D,A195,Statisztika!G:G,"NEM"))</f>
        <v/>
      </c>
      <c r="D195" s="11" t="str">
        <f aca="false">IF(OR(A195="",B195=0),"",C195/B195)</f>
        <v/>
      </c>
      <c r="E195" s="10" t="str">
        <f aca="false">IF(A195="","",Csuszkak!C40)</f>
        <v/>
      </c>
    </row>
    <row r="196" customFormat="false" ht="15" hidden="false" customHeight="false" outlineLevel="0" collapsed="false">
      <c r="A196" s="10" t="str">
        <f aca="false">IF(Csuszkak!A41="","",Csuszkak!A41)</f>
        <v/>
      </c>
      <c r="B196" s="10" t="str">
        <f aca="false">IF(A196="","",COUNTIFS(Statisztika!D:D,A196,Statisztika!C:C,"valasz"))</f>
        <v/>
      </c>
      <c r="C196" s="10" t="str">
        <f aca="false">IF(A196="","",COUNTIFS(Statisztika!D:D,A196,Statisztika!G:G,"NEM"))</f>
        <v/>
      </c>
      <c r="D196" s="11" t="str">
        <f aca="false">IF(OR(A196="",B196=0),"",C196/B196)</f>
        <v/>
      </c>
      <c r="E196" s="10" t="str">
        <f aca="false">IF(A196="","",Csuszkak!C41)</f>
        <v/>
      </c>
    </row>
    <row r="197" customFormat="false" ht="15" hidden="false" customHeight="false" outlineLevel="0" collapsed="false">
      <c r="A197" s="10" t="str">
        <f aca="false">IF(Csuszkak!A42="","",Csuszkak!A42)</f>
        <v/>
      </c>
      <c r="B197" s="10" t="str">
        <f aca="false">IF(A197="","",COUNTIFS(Statisztika!D:D,A197,Statisztika!C:C,"valasz"))</f>
        <v/>
      </c>
      <c r="C197" s="10" t="str">
        <f aca="false">IF(A197="","",COUNTIFS(Statisztika!D:D,A197,Statisztika!G:G,"NEM"))</f>
        <v/>
      </c>
      <c r="D197" s="11" t="str">
        <f aca="false">IF(OR(A197="",B197=0),"",C197/B197)</f>
        <v/>
      </c>
      <c r="E197" s="10" t="str">
        <f aca="false">IF(A197="","",Csuszkak!C42)</f>
        <v/>
      </c>
    </row>
    <row r="198" customFormat="false" ht="15" hidden="false" customHeight="false" outlineLevel="0" collapsed="false">
      <c r="A198" s="10" t="str">
        <f aca="false">IF(Csuszkak!A43="","",Csuszkak!A43)</f>
        <v/>
      </c>
      <c r="B198" s="10" t="str">
        <f aca="false">IF(A198="","",COUNTIFS(Statisztika!D:D,A198,Statisztika!C:C,"valasz"))</f>
        <v/>
      </c>
      <c r="C198" s="10" t="str">
        <f aca="false">IF(A198="","",COUNTIFS(Statisztika!D:D,A198,Statisztika!G:G,"NEM"))</f>
        <v/>
      </c>
      <c r="D198" s="11" t="str">
        <f aca="false">IF(OR(A198="",B198=0),"",C198/B198)</f>
        <v/>
      </c>
      <c r="E198" s="10" t="str">
        <f aca="false">IF(A198="","",Csuszkak!C43)</f>
        <v/>
      </c>
    </row>
    <row r="199" customFormat="false" ht="15" hidden="false" customHeight="false" outlineLevel="0" collapsed="false">
      <c r="A199" s="10" t="str">
        <f aca="false">IF(Csuszkak!A44="","",Csuszkak!A44)</f>
        <v/>
      </c>
      <c r="B199" s="10" t="str">
        <f aca="false">IF(A199="","",COUNTIFS(Statisztika!D:D,A199,Statisztika!C:C,"valasz"))</f>
        <v/>
      </c>
      <c r="C199" s="10" t="str">
        <f aca="false">IF(A199="","",COUNTIFS(Statisztika!D:D,A199,Statisztika!G:G,"NEM"))</f>
        <v/>
      </c>
      <c r="D199" s="11" t="str">
        <f aca="false">IF(OR(A199="",B199=0),"",C199/B199)</f>
        <v/>
      </c>
      <c r="E199" s="10" t="str">
        <f aca="false">IF(A199="","",Csuszkak!C44)</f>
        <v/>
      </c>
    </row>
    <row r="200" customFormat="false" ht="15" hidden="false" customHeight="false" outlineLevel="0" collapsed="false">
      <c r="A200" s="10" t="str">
        <f aca="false">IF(Csuszkak!A45="","",Csuszkak!A45)</f>
        <v/>
      </c>
      <c r="B200" s="10" t="str">
        <f aca="false">IF(A200="","",COUNTIFS(Statisztika!D:D,A200,Statisztika!C:C,"valasz"))</f>
        <v/>
      </c>
      <c r="C200" s="10" t="str">
        <f aca="false">IF(A200="","",COUNTIFS(Statisztika!D:D,A200,Statisztika!G:G,"NEM"))</f>
        <v/>
      </c>
      <c r="D200" s="11" t="str">
        <f aca="false">IF(OR(A200="",B200=0),"",C200/B200)</f>
        <v/>
      </c>
      <c r="E200" s="10" t="str">
        <f aca="false">IF(A200="","",Csuszkak!C45)</f>
        <v/>
      </c>
    </row>
    <row r="201" customFormat="false" ht="15" hidden="false" customHeight="false" outlineLevel="0" collapsed="false">
      <c r="A201" s="10" t="str">
        <f aca="false">IF(Csuszkak!A46="","",Csuszkak!A46)</f>
        <v/>
      </c>
      <c r="B201" s="10" t="str">
        <f aca="false">IF(A201="","",COUNTIFS(Statisztika!D:D,A201,Statisztika!C:C,"valasz"))</f>
        <v/>
      </c>
      <c r="C201" s="10" t="str">
        <f aca="false">IF(A201="","",COUNTIFS(Statisztika!D:D,A201,Statisztika!G:G,"NEM"))</f>
        <v/>
      </c>
      <c r="D201" s="11" t="str">
        <f aca="false">IF(OR(A201="",B201=0),"",C201/B201)</f>
        <v/>
      </c>
      <c r="E201" s="10" t="str">
        <f aca="false">IF(A201="","",Csuszkak!C46)</f>
        <v/>
      </c>
    </row>
    <row r="202" customFormat="false" ht="15" hidden="false" customHeight="false" outlineLevel="0" collapsed="false">
      <c r="A202" s="10" t="str">
        <f aca="false">IF(Csuszkak!A47="","",Csuszkak!A47)</f>
        <v/>
      </c>
      <c r="B202" s="10" t="str">
        <f aca="false">IF(A202="","",COUNTIFS(Statisztika!D:D,A202,Statisztika!C:C,"valasz"))</f>
        <v/>
      </c>
      <c r="C202" s="10" t="str">
        <f aca="false">IF(A202="","",COUNTIFS(Statisztika!D:D,A202,Statisztika!G:G,"NEM"))</f>
        <v/>
      </c>
      <c r="D202" s="11" t="str">
        <f aca="false">IF(OR(A202="",B202=0),"",C202/B202)</f>
        <v/>
      </c>
      <c r="E202" s="10" t="str">
        <f aca="false">IF(A202="","",Csuszkak!C47)</f>
        <v/>
      </c>
    </row>
    <row r="203" customFormat="false" ht="15" hidden="false" customHeight="false" outlineLevel="0" collapsed="false">
      <c r="A203" s="10" t="str">
        <f aca="false">IF(Csuszkak!A48="","",Csuszkak!A48)</f>
        <v/>
      </c>
      <c r="B203" s="10" t="str">
        <f aca="false">IF(A203="","",COUNTIFS(Statisztika!D:D,A203,Statisztika!C:C,"valasz"))</f>
        <v/>
      </c>
      <c r="C203" s="10" t="str">
        <f aca="false">IF(A203="","",COUNTIFS(Statisztika!D:D,A203,Statisztika!G:G,"NEM"))</f>
        <v/>
      </c>
      <c r="D203" s="11" t="str">
        <f aca="false">IF(OR(A203="",B203=0),"",C203/B203)</f>
        <v/>
      </c>
      <c r="E203" s="10" t="str">
        <f aca="false">IF(A203="","",Csuszkak!C48)</f>
        <v/>
      </c>
    </row>
    <row r="204" customFormat="false" ht="15" hidden="false" customHeight="false" outlineLevel="0" collapsed="false">
      <c r="A204" s="10" t="str">
        <f aca="false">IF(Csuszkak!A49="","",Csuszkak!A49)</f>
        <v/>
      </c>
      <c r="B204" s="10" t="str">
        <f aca="false">IF(A204="","",COUNTIFS(Statisztika!D:D,A204,Statisztika!C:C,"valasz"))</f>
        <v/>
      </c>
      <c r="C204" s="10" t="str">
        <f aca="false">IF(A204="","",COUNTIFS(Statisztika!D:D,A204,Statisztika!G:G,"NEM"))</f>
        <v/>
      </c>
      <c r="D204" s="11" t="str">
        <f aca="false">IF(OR(A204="",B204=0),"",C204/B204)</f>
        <v/>
      </c>
      <c r="E204" s="10" t="str">
        <f aca="false">IF(A204="","",Csuszkak!C49)</f>
        <v/>
      </c>
    </row>
    <row r="205" customFormat="false" ht="15" hidden="false" customHeight="false" outlineLevel="0" collapsed="false">
      <c r="A205" s="10" t="str">
        <f aca="false">IF(Csuszkak!A50="","",Csuszkak!A50)</f>
        <v/>
      </c>
      <c r="B205" s="10" t="str">
        <f aca="false">IF(A205="","",COUNTIFS(Statisztika!D:D,A205,Statisztika!C:C,"valasz"))</f>
        <v/>
      </c>
      <c r="C205" s="10" t="str">
        <f aca="false">IF(A205="","",COUNTIFS(Statisztika!D:D,A205,Statisztika!G:G,"NEM"))</f>
        <v/>
      </c>
      <c r="D205" s="11" t="str">
        <f aca="false">IF(OR(A205="",B205=0),"",C205/B205)</f>
        <v/>
      </c>
      <c r="E205" s="10" t="str">
        <f aca="false">IF(A205="","",Csuszkak!C50)</f>
        <v/>
      </c>
    </row>
    <row r="206" customFormat="false" ht="15" hidden="false" customHeight="false" outlineLevel="0" collapsed="false">
      <c r="A206" s="10" t="str">
        <f aca="false">IF(Csuszkak!A51="","",Csuszkak!A51)</f>
        <v/>
      </c>
      <c r="B206" s="10" t="str">
        <f aca="false">IF(A206="","",COUNTIFS(Statisztika!D:D,A206,Statisztika!C:C,"valasz"))</f>
        <v/>
      </c>
      <c r="C206" s="10" t="str">
        <f aca="false">IF(A206="","",COUNTIFS(Statisztika!D:D,A206,Statisztika!G:G,"NEM"))</f>
        <v/>
      </c>
      <c r="D206" s="11" t="str">
        <f aca="false">IF(OR(A206="",B206=0),"",C206/B206)</f>
        <v/>
      </c>
      <c r="E206" s="10" t="str">
        <f aca="false">IF(A206="","",Csuszkak!C51)</f>
        <v/>
      </c>
    </row>
    <row r="207" customFormat="false" ht="15" hidden="false" customHeight="false" outlineLevel="0" collapsed="false">
      <c r="A207" s="10" t="str">
        <f aca="false">IF(Csuszkak!A52="","",Csuszkak!A52)</f>
        <v/>
      </c>
      <c r="B207" s="10" t="str">
        <f aca="false">IF(A207="","",COUNTIFS(Statisztika!D:D,A207,Statisztika!C:C,"valasz"))</f>
        <v/>
      </c>
      <c r="C207" s="10" t="str">
        <f aca="false">IF(A207="","",COUNTIFS(Statisztika!D:D,A207,Statisztika!G:G,"NEM"))</f>
        <v/>
      </c>
      <c r="D207" s="11" t="str">
        <f aca="false">IF(OR(A207="",B207=0),"",C207/B207)</f>
        <v/>
      </c>
      <c r="E207" s="10" t="str">
        <f aca="false">IF(A207="","",Csuszkak!C52)</f>
        <v/>
      </c>
    </row>
    <row r="208" customFormat="false" ht="15" hidden="false" customHeight="false" outlineLevel="0" collapsed="false">
      <c r="A208" s="10" t="str">
        <f aca="false">IF(Csuszkak!A53="","",Csuszkak!A53)</f>
        <v/>
      </c>
      <c r="B208" s="10" t="str">
        <f aca="false">IF(A208="","",COUNTIFS(Statisztika!D:D,A208,Statisztika!C:C,"valasz"))</f>
        <v/>
      </c>
      <c r="C208" s="10" t="str">
        <f aca="false">IF(A208="","",COUNTIFS(Statisztika!D:D,A208,Statisztika!G:G,"NEM"))</f>
        <v/>
      </c>
      <c r="D208" s="11" t="str">
        <f aca="false">IF(OR(A208="",B208=0),"",C208/B208)</f>
        <v/>
      </c>
      <c r="E208" s="10" t="str">
        <f aca="false">IF(A208="","",Csuszkak!C53)</f>
        <v/>
      </c>
    </row>
    <row r="209" customFormat="false" ht="15" hidden="false" customHeight="false" outlineLevel="0" collapsed="false">
      <c r="A209" s="10" t="str">
        <f aca="false">IF(Csuszkak!A54="","",Csuszkak!A54)</f>
        <v/>
      </c>
      <c r="B209" s="10" t="str">
        <f aca="false">IF(A209="","",COUNTIFS(Statisztika!D:D,A209,Statisztika!C:C,"valasz"))</f>
        <v/>
      </c>
      <c r="C209" s="10" t="str">
        <f aca="false">IF(A209="","",COUNTIFS(Statisztika!D:D,A209,Statisztika!G:G,"NEM"))</f>
        <v/>
      </c>
      <c r="D209" s="11" t="str">
        <f aca="false">IF(OR(A209="",B209=0),"",C209/B209)</f>
        <v/>
      </c>
      <c r="E209" s="10" t="str">
        <f aca="false">IF(A209="","",Csuszkak!C54)</f>
        <v/>
      </c>
    </row>
    <row r="210" customFormat="false" ht="15" hidden="false" customHeight="false" outlineLevel="0" collapsed="false">
      <c r="A210" s="10" t="str">
        <f aca="false">IF(Csuszkak!A55="","",Csuszkak!A55)</f>
        <v/>
      </c>
      <c r="B210" s="10" t="str">
        <f aca="false">IF(A210="","",COUNTIFS(Statisztika!D:D,A210,Statisztika!C:C,"valasz"))</f>
        <v/>
      </c>
      <c r="C210" s="10" t="str">
        <f aca="false">IF(A210="","",COUNTIFS(Statisztika!D:D,A210,Statisztika!G:G,"NEM"))</f>
        <v/>
      </c>
      <c r="D210" s="11" t="str">
        <f aca="false">IF(OR(A210="",B210=0),"",C210/B210)</f>
        <v/>
      </c>
      <c r="E210" s="10" t="str">
        <f aca="false">IF(A210="","",Csuszkak!C55)</f>
        <v/>
      </c>
    </row>
    <row r="211" customFormat="false" ht="15" hidden="false" customHeight="false" outlineLevel="0" collapsed="false">
      <c r="A211" s="10" t="str">
        <f aca="false">IF(Csuszkak!A56="","",Csuszkak!A56)</f>
        <v/>
      </c>
      <c r="B211" s="10" t="str">
        <f aca="false">IF(A211="","",COUNTIFS(Statisztika!D:D,A211,Statisztika!C:C,"valasz"))</f>
        <v/>
      </c>
      <c r="C211" s="10" t="str">
        <f aca="false">IF(A211="","",COUNTIFS(Statisztika!D:D,A211,Statisztika!G:G,"NEM"))</f>
        <v/>
      </c>
      <c r="D211" s="11" t="str">
        <f aca="false">IF(OR(A211="",B211=0),"",C211/B211)</f>
        <v/>
      </c>
      <c r="E211" s="10" t="str">
        <f aca="false">IF(A211="","",Csuszkak!C56)</f>
        <v/>
      </c>
    </row>
    <row r="212" customFormat="false" ht="15" hidden="false" customHeight="false" outlineLevel="0" collapsed="false">
      <c r="A212" s="10" t="str">
        <f aca="false">IF(Csuszkak!A57="","",Csuszkak!A57)</f>
        <v/>
      </c>
      <c r="B212" s="10" t="str">
        <f aca="false">IF(A212="","",COUNTIFS(Statisztika!D:D,A212,Statisztika!C:C,"valasz"))</f>
        <v/>
      </c>
      <c r="C212" s="10" t="str">
        <f aca="false">IF(A212="","",COUNTIFS(Statisztika!D:D,A212,Statisztika!G:G,"NEM"))</f>
        <v/>
      </c>
      <c r="D212" s="11" t="str">
        <f aca="false">IF(OR(A212="",B212=0),"",C212/B212)</f>
        <v/>
      </c>
      <c r="E212" s="10" t="str">
        <f aca="false">IF(A212="","",Csuszkak!C57)</f>
        <v/>
      </c>
    </row>
    <row r="213" customFormat="false" ht="15" hidden="false" customHeight="false" outlineLevel="0" collapsed="false">
      <c r="A213" s="10" t="str">
        <f aca="false">IF(Csuszkak!A58="","",Csuszkak!A58)</f>
        <v/>
      </c>
      <c r="B213" s="10" t="str">
        <f aca="false">IF(A213="","",COUNTIFS(Statisztika!D:D,A213,Statisztika!C:C,"valasz"))</f>
        <v/>
      </c>
      <c r="C213" s="10" t="str">
        <f aca="false">IF(A213="","",COUNTIFS(Statisztika!D:D,A213,Statisztika!G:G,"NEM"))</f>
        <v/>
      </c>
      <c r="D213" s="11" t="str">
        <f aca="false">IF(OR(A213="",B213=0),"",C213/B213)</f>
        <v/>
      </c>
      <c r="E213" s="10" t="str">
        <f aca="false">IF(A213="","",Csuszkak!C58)</f>
        <v/>
      </c>
    </row>
    <row r="214" customFormat="false" ht="15" hidden="false" customHeight="false" outlineLevel="0" collapsed="false">
      <c r="A214" s="10" t="str">
        <f aca="false">IF(Csuszkak!A59="","",Csuszkak!A59)</f>
        <v/>
      </c>
      <c r="B214" s="10" t="str">
        <f aca="false">IF(A214="","",COUNTIFS(Statisztika!D:D,A214,Statisztika!C:C,"valasz"))</f>
        <v/>
      </c>
      <c r="C214" s="10" t="str">
        <f aca="false">IF(A214="","",COUNTIFS(Statisztika!D:D,A214,Statisztika!G:G,"NEM"))</f>
        <v/>
      </c>
      <c r="D214" s="11" t="str">
        <f aca="false">IF(OR(A214="",B214=0),"",C214/B214)</f>
        <v/>
      </c>
      <c r="E214" s="10" t="str">
        <f aca="false">IF(A214="","",Csuszkak!C59)</f>
        <v/>
      </c>
    </row>
    <row r="215" customFormat="false" ht="15" hidden="false" customHeight="false" outlineLevel="0" collapsed="false">
      <c r="A215" s="10" t="str">
        <f aca="false">IF(Csuszkak!A60="","",Csuszkak!A60)</f>
        <v/>
      </c>
      <c r="B215" s="10" t="str">
        <f aca="false">IF(A215="","",COUNTIFS(Statisztika!D:D,A215,Statisztika!C:C,"valasz"))</f>
        <v/>
      </c>
      <c r="C215" s="10" t="str">
        <f aca="false">IF(A215="","",COUNTIFS(Statisztika!D:D,A215,Statisztika!G:G,"NEM"))</f>
        <v/>
      </c>
      <c r="D215" s="11" t="str">
        <f aca="false">IF(OR(A215="",B215=0),"",C215/B215)</f>
        <v/>
      </c>
      <c r="E215" s="10" t="str">
        <f aca="false">IF(A215="","",Csuszkak!C60)</f>
        <v/>
      </c>
    </row>
    <row r="216" customFormat="false" ht="15" hidden="false" customHeight="false" outlineLevel="0" collapsed="false">
      <c r="A216" s="10" t="str">
        <f aca="false">IF(Csuszkak!A61="","",Csuszkak!A61)</f>
        <v/>
      </c>
      <c r="B216" s="10" t="str">
        <f aca="false">IF(A216="","",COUNTIFS(Statisztika!D:D,A216,Statisztika!C:C,"valasz"))</f>
        <v/>
      </c>
      <c r="C216" s="10" t="str">
        <f aca="false">IF(A216="","",COUNTIFS(Statisztika!D:D,A216,Statisztika!G:G,"NEM"))</f>
        <v/>
      </c>
      <c r="D216" s="11" t="str">
        <f aca="false">IF(OR(A216="",B216=0),"",C216/B216)</f>
        <v/>
      </c>
      <c r="E216" s="10" t="str">
        <f aca="false">IF(A216="","",Csuszkak!C61)</f>
        <v/>
      </c>
    </row>
    <row r="217" customFormat="false" ht="15" hidden="false" customHeight="false" outlineLevel="0" collapsed="false">
      <c r="A217" s="10" t="str">
        <f aca="false">IF(Csuszkak!A62="","",Csuszkak!A62)</f>
        <v/>
      </c>
      <c r="B217" s="10" t="str">
        <f aca="false">IF(A217="","",COUNTIFS(Statisztika!D:D,A217,Statisztika!C:C,"valasz"))</f>
        <v/>
      </c>
      <c r="C217" s="10" t="str">
        <f aca="false">IF(A217="","",COUNTIFS(Statisztika!D:D,A217,Statisztika!G:G,"NEM"))</f>
        <v/>
      </c>
      <c r="D217" s="11" t="str">
        <f aca="false">IF(OR(A217="",B217=0),"",C217/B217)</f>
        <v/>
      </c>
      <c r="E217" s="10" t="str">
        <f aca="false">IF(A217="","",Csuszkak!C62)</f>
        <v/>
      </c>
    </row>
    <row r="218" customFormat="false" ht="15" hidden="false" customHeight="false" outlineLevel="0" collapsed="false">
      <c r="A218" s="10" t="str">
        <f aca="false">IF(Csuszkak!A63="","",Csuszkak!A63)</f>
        <v/>
      </c>
      <c r="B218" s="10" t="str">
        <f aca="false">IF(A218="","",COUNTIFS(Statisztika!D:D,A218,Statisztika!C:C,"valasz"))</f>
        <v/>
      </c>
      <c r="C218" s="10" t="str">
        <f aca="false">IF(A218="","",COUNTIFS(Statisztika!D:D,A218,Statisztika!G:G,"NEM"))</f>
        <v/>
      </c>
      <c r="D218" s="11" t="str">
        <f aca="false">IF(OR(A218="",B218=0),"",C218/B218)</f>
        <v/>
      </c>
      <c r="E218" s="10" t="str">
        <f aca="false">IF(A218="","",Csuszkak!C63)</f>
        <v/>
      </c>
    </row>
    <row r="219" customFormat="false" ht="15" hidden="false" customHeight="false" outlineLevel="0" collapsed="false">
      <c r="A219" s="10" t="str">
        <f aca="false">IF(Csuszkak!A64="","",Csuszkak!A64)</f>
        <v/>
      </c>
      <c r="B219" s="10" t="str">
        <f aca="false">IF(A219="","",COUNTIFS(Statisztika!D:D,A219,Statisztika!C:C,"valasz"))</f>
        <v/>
      </c>
      <c r="C219" s="10" t="str">
        <f aca="false">IF(A219="","",COUNTIFS(Statisztika!D:D,A219,Statisztika!G:G,"NEM"))</f>
        <v/>
      </c>
      <c r="D219" s="11" t="str">
        <f aca="false">IF(OR(A219="",B219=0),"",C219/B219)</f>
        <v/>
      </c>
      <c r="E219" s="10" t="str">
        <f aca="false">IF(A219="","",Csuszkak!C64)</f>
        <v/>
      </c>
    </row>
    <row r="220" customFormat="false" ht="15" hidden="false" customHeight="false" outlineLevel="0" collapsed="false">
      <c r="A220" s="10" t="str">
        <f aca="false">IF(Csuszkak!A65="","",Csuszkak!A65)</f>
        <v/>
      </c>
      <c r="B220" s="10" t="str">
        <f aca="false">IF(A220="","",COUNTIFS(Statisztika!D:D,A220,Statisztika!C:C,"valasz"))</f>
        <v/>
      </c>
      <c r="C220" s="10" t="str">
        <f aca="false">IF(A220="","",COUNTIFS(Statisztika!D:D,A220,Statisztika!G:G,"NEM"))</f>
        <v/>
      </c>
      <c r="D220" s="11" t="str">
        <f aca="false">IF(OR(A220="",B220=0),"",C220/B220)</f>
        <v/>
      </c>
      <c r="E220" s="10" t="str">
        <f aca="false">IF(A220="","",Csuszkak!C65)</f>
        <v/>
      </c>
    </row>
    <row r="221" customFormat="false" ht="15" hidden="false" customHeight="false" outlineLevel="0" collapsed="false">
      <c r="A221" s="10" t="str">
        <f aca="false">IF(Csuszkak!A66="","",Csuszkak!A66)</f>
        <v/>
      </c>
      <c r="B221" s="10" t="str">
        <f aca="false">IF(A221="","",COUNTIFS(Statisztika!D:D,A221,Statisztika!C:C,"valasz"))</f>
        <v/>
      </c>
      <c r="C221" s="10" t="str">
        <f aca="false">IF(A221="","",COUNTIFS(Statisztika!D:D,A221,Statisztika!G:G,"NEM"))</f>
        <v/>
      </c>
      <c r="D221" s="11" t="str">
        <f aca="false">IF(OR(A221="",B221=0),"",C221/B221)</f>
        <v/>
      </c>
      <c r="E221" s="10" t="str">
        <f aca="false">IF(A221="","",Csuszkak!C66)</f>
        <v/>
      </c>
    </row>
    <row r="222" customFormat="false" ht="15" hidden="false" customHeight="false" outlineLevel="0" collapsed="false">
      <c r="A222" s="10" t="str">
        <f aca="false">IF(Csuszkak!A67="","",Csuszkak!A67)</f>
        <v/>
      </c>
      <c r="B222" s="10" t="str">
        <f aca="false">IF(A222="","",COUNTIFS(Statisztika!D:D,A222,Statisztika!C:C,"valasz"))</f>
        <v/>
      </c>
      <c r="C222" s="10" t="str">
        <f aca="false">IF(A222="","",COUNTIFS(Statisztika!D:D,A222,Statisztika!G:G,"NEM"))</f>
        <v/>
      </c>
      <c r="D222" s="11" t="str">
        <f aca="false">IF(OR(A222="",B222=0),"",C222/B222)</f>
        <v/>
      </c>
      <c r="E222" s="10" t="str">
        <f aca="false">IF(A222="","",Csuszkak!C67)</f>
        <v/>
      </c>
    </row>
    <row r="223" customFormat="false" ht="15" hidden="false" customHeight="false" outlineLevel="0" collapsed="false">
      <c r="A223" s="10" t="str">
        <f aca="false">IF(Csuszkak!A68="","",Csuszkak!A68)</f>
        <v/>
      </c>
      <c r="B223" s="10" t="str">
        <f aca="false">IF(A223="","",COUNTIFS(Statisztika!D:D,A223,Statisztika!C:C,"valasz"))</f>
        <v/>
      </c>
      <c r="C223" s="10" t="str">
        <f aca="false">IF(A223="","",COUNTIFS(Statisztika!D:D,A223,Statisztika!G:G,"NEM"))</f>
        <v/>
      </c>
      <c r="D223" s="11" t="str">
        <f aca="false">IF(OR(A223="",B223=0),"",C223/B223)</f>
        <v/>
      </c>
      <c r="E223" s="10" t="str">
        <f aca="false">IF(A223="","",Csuszkak!C68)</f>
        <v/>
      </c>
    </row>
    <row r="224" customFormat="false" ht="15" hidden="false" customHeight="false" outlineLevel="0" collapsed="false">
      <c r="A224" s="10" t="str">
        <f aca="false">IF(Csuszkak!A69="","",Csuszkak!A69)</f>
        <v/>
      </c>
      <c r="B224" s="10" t="str">
        <f aca="false">IF(A224="","",COUNTIFS(Statisztika!D:D,A224,Statisztika!C:C,"valasz"))</f>
        <v/>
      </c>
      <c r="C224" s="10" t="str">
        <f aca="false">IF(A224="","",COUNTIFS(Statisztika!D:D,A224,Statisztika!G:G,"NEM"))</f>
        <v/>
      </c>
      <c r="D224" s="11" t="str">
        <f aca="false">IF(OR(A224="",B224=0),"",C224/B224)</f>
        <v/>
      </c>
      <c r="E224" s="10" t="str">
        <f aca="false">IF(A224="","",Csuszkak!C69)</f>
        <v/>
      </c>
    </row>
    <row r="225" customFormat="false" ht="15" hidden="false" customHeight="false" outlineLevel="0" collapsed="false">
      <c r="A225" s="10" t="str">
        <f aca="false">IF(Csuszkak!A70="","",Csuszkak!A70)</f>
        <v/>
      </c>
      <c r="B225" s="10" t="str">
        <f aca="false">IF(A225="","",COUNTIFS(Statisztika!D:D,A225,Statisztika!C:C,"valasz"))</f>
        <v/>
      </c>
      <c r="C225" s="10" t="str">
        <f aca="false">IF(A225="","",COUNTIFS(Statisztika!D:D,A225,Statisztika!G:G,"NEM"))</f>
        <v/>
      </c>
      <c r="D225" s="11" t="str">
        <f aca="false">IF(OR(A225="",B225=0),"",C225/B225)</f>
        <v/>
      </c>
      <c r="E225" s="10" t="str">
        <f aca="false">IF(A225="","",Csuszkak!C70)</f>
        <v/>
      </c>
    </row>
    <row r="226" customFormat="false" ht="15" hidden="false" customHeight="false" outlineLevel="0" collapsed="false">
      <c r="A226" s="10" t="str">
        <f aca="false">IF(Csuszkak!A71="","",Csuszkak!A71)</f>
        <v/>
      </c>
      <c r="B226" s="10" t="str">
        <f aca="false">IF(A226="","",COUNTIFS(Statisztika!D:D,A226,Statisztika!C:C,"valasz"))</f>
        <v/>
      </c>
      <c r="C226" s="10" t="str">
        <f aca="false">IF(A226="","",COUNTIFS(Statisztika!D:D,A226,Statisztika!G:G,"NEM"))</f>
        <v/>
      </c>
      <c r="D226" s="11" t="str">
        <f aca="false">IF(OR(A226="",B226=0),"",C226/B226)</f>
        <v/>
      </c>
      <c r="E226" s="10" t="str">
        <f aca="false">IF(A226="","",Csuszkak!C71)</f>
        <v/>
      </c>
    </row>
    <row r="227" customFormat="false" ht="15" hidden="false" customHeight="false" outlineLevel="0" collapsed="false">
      <c r="A227" s="10" t="str">
        <f aca="false">IF(Csuszkak!A72="","",Csuszkak!A72)</f>
        <v/>
      </c>
      <c r="B227" s="10" t="str">
        <f aca="false">IF(A227="","",COUNTIFS(Statisztika!D:D,A227,Statisztika!C:C,"valasz"))</f>
        <v/>
      </c>
      <c r="C227" s="10" t="str">
        <f aca="false">IF(A227="","",COUNTIFS(Statisztika!D:D,A227,Statisztika!G:G,"NEM"))</f>
        <v/>
      </c>
      <c r="D227" s="11" t="str">
        <f aca="false">IF(OR(A227="",B227=0),"",C227/B227)</f>
        <v/>
      </c>
      <c r="E227" s="10" t="str">
        <f aca="false">IF(A227="","",Csuszkak!C72)</f>
        <v/>
      </c>
    </row>
    <row r="228" customFormat="false" ht="15" hidden="false" customHeight="false" outlineLevel="0" collapsed="false">
      <c r="A228" s="10" t="str">
        <f aca="false">IF(Csuszkak!A73="","",Csuszkak!A73)</f>
        <v/>
      </c>
      <c r="B228" s="10" t="str">
        <f aca="false">IF(A228="","",COUNTIFS(Statisztika!D:D,A228,Statisztika!C:C,"valasz"))</f>
        <v/>
      </c>
      <c r="C228" s="10" t="str">
        <f aca="false">IF(A228="","",COUNTIFS(Statisztika!D:D,A228,Statisztika!G:G,"NEM"))</f>
        <v/>
      </c>
      <c r="D228" s="11" t="str">
        <f aca="false">IF(OR(A228="",B228=0),"",C228/B228)</f>
        <v/>
      </c>
      <c r="E228" s="10" t="str">
        <f aca="false">IF(A228="","",Csuszkak!C73)</f>
        <v/>
      </c>
    </row>
    <row r="229" customFormat="false" ht="15" hidden="false" customHeight="false" outlineLevel="0" collapsed="false">
      <c r="A229" s="10" t="str">
        <f aca="false">IF(Csuszkak!A74="","",Csuszkak!A74)</f>
        <v/>
      </c>
      <c r="B229" s="10" t="str">
        <f aca="false">IF(A229="","",COUNTIFS(Statisztika!D:D,A229,Statisztika!C:C,"valasz"))</f>
        <v/>
      </c>
      <c r="C229" s="10" t="str">
        <f aca="false">IF(A229="","",COUNTIFS(Statisztika!D:D,A229,Statisztika!G:G,"NEM"))</f>
        <v/>
      </c>
      <c r="D229" s="11" t="str">
        <f aca="false">IF(OR(A229="",B229=0),"",C229/B229)</f>
        <v/>
      </c>
      <c r="E229" s="10" t="str">
        <f aca="false">IF(A229="","",Csuszkak!C74)</f>
        <v/>
      </c>
    </row>
    <row r="230" customFormat="false" ht="15" hidden="false" customHeight="false" outlineLevel="0" collapsed="false">
      <c r="A230" s="10" t="str">
        <f aca="false">IF(Csuszkak!A75="","",Csuszkak!A75)</f>
        <v/>
      </c>
      <c r="B230" s="10" t="str">
        <f aca="false">IF(A230="","",COUNTIFS(Statisztika!D:D,A230,Statisztika!C:C,"valasz"))</f>
        <v/>
      </c>
      <c r="C230" s="10" t="str">
        <f aca="false">IF(A230="","",COUNTIFS(Statisztika!D:D,A230,Statisztika!G:G,"NEM"))</f>
        <v/>
      </c>
      <c r="D230" s="11" t="str">
        <f aca="false">IF(OR(A230="",B230=0),"",C230/B230)</f>
        <v/>
      </c>
      <c r="E230" s="10" t="str">
        <f aca="false">IF(A230="","",Csuszkak!C75)</f>
        <v/>
      </c>
    </row>
    <row r="231" customFormat="false" ht="15" hidden="false" customHeight="false" outlineLevel="0" collapsed="false">
      <c r="A231" s="10" t="str">
        <f aca="false">IF(Csuszkak!A76="","",Csuszkak!A76)</f>
        <v/>
      </c>
      <c r="B231" s="10" t="str">
        <f aca="false">IF(A231="","",COUNTIFS(Statisztika!D:D,A231,Statisztika!C:C,"valasz"))</f>
        <v/>
      </c>
      <c r="C231" s="10" t="str">
        <f aca="false">IF(A231="","",COUNTIFS(Statisztika!D:D,A231,Statisztika!G:G,"NEM"))</f>
        <v/>
      </c>
      <c r="D231" s="11" t="str">
        <f aca="false">IF(OR(A231="",B231=0),"",C231/B231)</f>
        <v/>
      </c>
      <c r="E231" s="10" t="str">
        <f aca="false">IF(A231="","",Csuszkak!C76)</f>
        <v/>
      </c>
    </row>
    <row r="232" customFormat="false" ht="15" hidden="false" customHeight="false" outlineLevel="0" collapsed="false">
      <c r="A232" s="10" t="str">
        <f aca="false">IF(Csuszkak!A77="","",Csuszkak!A77)</f>
        <v/>
      </c>
      <c r="B232" s="10" t="str">
        <f aca="false">IF(A232="","",COUNTIFS(Statisztika!D:D,A232,Statisztika!C:C,"valasz"))</f>
        <v/>
      </c>
      <c r="C232" s="10" t="str">
        <f aca="false">IF(A232="","",COUNTIFS(Statisztika!D:D,A232,Statisztika!G:G,"NEM"))</f>
        <v/>
      </c>
      <c r="D232" s="11" t="str">
        <f aca="false">IF(OR(A232="",B232=0),"",C232/B232)</f>
        <v/>
      </c>
      <c r="E232" s="10" t="str">
        <f aca="false">IF(A232="","",Csuszkak!C77)</f>
        <v/>
      </c>
    </row>
    <row r="233" customFormat="false" ht="15" hidden="false" customHeight="false" outlineLevel="0" collapsed="false">
      <c r="A233" s="10" t="str">
        <f aca="false">IF(Csuszkak!A78="","",Csuszkak!A78)</f>
        <v/>
      </c>
      <c r="B233" s="10" t="str">
        <f aca="false">IF(A233="","",COUNTIFS(Statisztika!D:D,A233,Statisztika!C:C,"valasz"))</f>
        <v/>
      </c>
      <c r="C233" s="10" t="str">
        <f aca="false">IF(A233="","",COUNTIFS(Statisztika!D:D,A233,Statisztika!G:G,"NEM"))</f>
        <v/>
      </c>
      <c r="D233" s="11" t="str">
        <f aca="false">IF(OR(A233="",B233=0),"",C233/B233)</f>
        <v/>
      </c>
      <c r="E233" s="10" t="str">
        <f aca="false">IF(A233="","",Csuszkak!C78)</f>
        <v/>
      </c>
    </row>
    <row r="234" customFormat="false" ht="15" hidden="false" customHeight="false" outlineLevel="0" collapsed="false">
      <c r="A234" s="10" t="str">
        <f aca="false">IF(Csuszkak!A79="","",Csuszkak!A79)</f>
        <v/>
      </c>
      <c r="B234" s="10" t="str">
        <f aca="false">IF(A234="","",COUNTIFS(Statisztika!D:D,A234,Statisztika!C:C,"valasz"))</f>
        <v/>
      </c>
      <c r="C234" s="10" t="str">
        <f aca="false">IF(A234="","",COUNTIFS(Statisztika!D:D,A234,Statisztika!G:G,"NEM"))</f>
        <v/>
      </c>
      <c r="D234" s="11" t="str">
        <f aca="false">IF(OR(A234="",B234=0),"",C234/B234)</f>
        <v/>
      </c>
      <c r="E234" s="10" t="str">
        <f aca="false">IF(A234="","",Csuszkak!C79)</f>
        <v/>
      </c>
    </row>
    <row r="235" customFormat="false" ht="15" hidden="false" customHeight="false" outlineLevel="0" collapsed="false">
      <c r="A235" s="10" t="str">
        <f aca="false">IF(Csuszkak!A80="","",Csuszkak!A80)</f>
        <v/>
      </c>
      <c r="B235" s="10" t="str">
        <f aca="false">IF(A235="","",COUNTIFS(Statisztika!D:D,A235,Statisztika!C:C,"valasz"))</f>
        <v/>
      </c>
      <c r="C235" s="10" t="str">
        <f aca="false">IF(A235="","",COUNTIFS(Statisztika!D:D,A235,Statisztika!G:G,"NEM"))</f>
        <v/>
      </c>
      <c r="D235" s="11" t="str">
        <f aca="false">IF(OR(A235="",B235=0),"",C235/B235)</f>
        <v/>
      </c>
      <c r="E235" s="10" t="str">
        <f aca="false">IF(A235="","",Csuszkak!C80)</f>
        <v/>
      </c>
    </row>
    <row r="236" customFormat="false" ht="15" hidden="false" customHeight="false" outlineLevel="0" collapsed="false">
      <c r="A236" s="10" t="str">
        <f aca="false">IF(Csuszkak!A81="","",Csuszkak!A81)</f>
        <v/>
      </c>
      <c r="B236" s="10" t="str">
        <f aca="false">IF(A236="","",COUNTIFS(Statisztika!D:D,A236,Statisztika!C:C,"valasz"))</f>
        <v/>
      </c>
      <c r="C236" s="10" t="str">
        <f aca="false">IF(A236="","",COUNTIFS(Statisztika!D:D,A236,Statisztika!G:G,"NEM"))</f>
        <v/>
      </c>
      <c r="D236" s="11" t="str">
        <f aca="false">IF(OR(A236="",B236=0),"",C236/B236)</f>
        <v/>
      </c>
      <c r="E236" s="10" t="str">
        <f aca="false">IF(A236="","",Csuszkak!C81)</f>
        <v/>
      </c>
    </row>
    <row r="237" customFormat="false" ht="15" hidden="false" customHeight="false" outlineLevel="0" collapsed="false">
      <c r="A237" s="10" t="str">
        <f aca="false">IF(Csuszkak!A82="","",Csuszkak!A82)</f>
        <v/>
      </c>
      <c r="B237" s="10" t="str">
        <f aca="false">IF(A237="","",COUNTIFS(Statisztika!D:D,A237,Statisztika!C:C,"valasz"))</f>
        <v/>
      </c>
      <c r="C237" s="10" t="str">
        <f aca="false">IF(A237="","",COUNTIFS(Statisztika!D:D,A237,Statisztika!G:G,"NEM"))</f>
        <v/>
      </c>
      <c r="D237" s="11" t="str">
        <f aca="false">IF(OR(A237="",B237=0),"",C237/B237)</f>
        <v/>
      </c>
      <c r="E237" s="10" t="str">
        <f aca="false">IF(A237="","",Csuszkak!C82)</f>
        <v/>
      </c>
    </row>
    <row r="238" customFormat="false" ht="15" hidden="false" customHeight="false" outlineLevel="0" collapsed="false">
      <c r="A238" s="10" t="str">
        <f aca="false">IF(Csuszkak!A83="","",Csuszkak!A83)</f>
        <v/>
      </c>
      <c r="B238" s="10" t="str">
        <f aca="false">IF(A238="","",COUNTIFS(Statisztika!D:D,A238,Statisztika!C:C,"valasz"))</f>
        <v/>
      </c>
      <c r="C238" s="10" t="str">
        <f aca="false">IF(A238="","",COUNTIFS(Statisztika!D:D,A238,Statisztika!G:G,"NEM"))</f>
        <v/>
      </c>
      <c r="D238" s="11" t="str">
        <f aca="false">IF(OR(A238="",B238=0),"",C238/B238)</f>
        <v/>
      </c>
      <c r="E238" s="10" t="str">
        <f aca="false">IF(A238="","",Csuszkak!C83)</f>
        <v/>
      </c>
    </row>
    <row r="239" customFormat="false" ht="15" hidden="false" customHeight="false" outlineLevel="0" collapsed="false">
      <c r="A239" s="10" t="str">
        <f aca="false">IF(Csuszkak!A84="","",Csuszkak!A84)</f>
        <v/>
      </c>
      <c r="B239" s="10" t="str">
        <f aca="false">IF(A239="","",COUNTIFS(Statisztika!D:D,A239,Statisztika!C:C,"valasz"))</f>
        <v/>
      </c>
      <c r="C239" s="10" t="str">
        <f aca="false">IF(A239="","",COUNTIFS(Statisztika!D:D,A239,Statisztika!G:G,"NEM"))</f>
        <v/>
      </c>
      <c r="D239" s="11" t="str">
        <f aca="false">IF(OR(A239="",B239=0),"",C239/B239)</f>
        <v/>
      </c>
      <c r="E239" s="10" t="str">
        <f aca="false">IF(A239="","",Csuszkak!C84)</f>
        <v/>
      </c>
    </row>
    <row r="240" customFormat="false" ht="15" hidden="false" customHeight="false" outlineLevel="0" collapsed="false">
      <c r="A240" s="10" t="str">
        <f aca="false">IF(Csuszkak!A85="","",Csuszkak!A85)</f>
        <v/>
      </c>
      <c r="B240" s="10" t="str">
        <f aca="false">IF(A240="","",COUNTIFS(Statisztika!D:D,A240,Statisztika!C:C,"valasz"))</f>
        <v/>
      </c>
      <c r="C240" s="10" t="str">
        <f aca="false">IF(A240="","",COUNTIFS(Statisztika!D:D,A240,Statisztika!G:G,"NEM"))</f>
        <v/>
      </c>
      <c r="D240" s="11" t="str">
        <f aca="false">IF(OR(A240="",B240=0),"",C240/B240)</f>
        <v/>
      </c>
      <c r="E240" s="10" t="str">
        <f aca="false">IF(A240="","",Csuszkak!C85)</f>
        <v/>
      </c>
    </row>
    <row r="241" customFormat="false" ht="15" hidden="false" customHeight="false" outlineLevel="0" collapsed="false">
      <c r="A241" s="10" t="str">
        <f aca="false">IF(Csuszkak!A86="","",Csuszkak!A86)</f>
        <v/>
      </c>
      <c r="B241" s="10" t="str">
        <f aca="false">IF(A241="","",COUNTIFS(Statisztika!D:D,A241,Statisztika!C:C,"valasz"))</f>
        <v/>
      </c>
      <c r="C241" s="10" t="str">
        <f aca="false">IF(A241="","",COUNTIFS(Statisztika!D:D,A241,Statisztika!G:G,"NEM"))</f>
        <v/>
      </c>
      <c r="D241" s="11" t="str">
        <f aca="false">IF(OR(A241="",B241=0),"",C241/B241)</f>
        <v/>
      </c>
      <c r="E241" s="10" t="str">
        <f aca="false">IF(A241="","",Csuszkak!C86)</f>
        <v/>
      </c>
    </row>
    <row r="242" customFormat="false" ht="15" hidden="false" customHeight="false" outlineLevel="0" collapsed="false">
      <c r="A242" s="10" t="str">
        <f aca="false">IF(Csuszkak!A87="","",Csuszkak!A87)</f>
        <v/>
      </c>
      <c r="B242" s="10" t="str">
        <f aca="false">IF(A242="","",COUNTIFS(Statisztika!D:D,A242,Statisztika!C:C,"valasz"))</f>
        <v/>
      </c>
      <c r="C242" s="10" t="str">
        <f aca="false">IF(A242="","",COUNTIFS(Statisztika!D:D,A242,Statisztika!G:G,"NEM"))</f>
        <v/>
      </c>
      <c r="D242" s="11" t="str">
        <f aca="false">IF(OR(A242="",B242=0),"",C242/B242)</f>
        <v/>
      </c>
      <c r="E242" s="10" t="str">
        <f aca="false">IF(A242="","",Csuszkak!C87)</f>
        <v/>
      </c>
    </row>
    <row r="243" customFormat="false" ht="15" hidden="false" customHeight="false" outlineLevel="0" collapsed="false">
      <c r="A243" s="10" t="str">
        <f aca="false">IF(Csuszkak!A88="","",Csuszkak!A88)</f>
        <v/>
      </c>
      <c r="B243" s="10" t="str">
        <f aca="false">IF(A243="","",COUNTIFS(Statisztika!D:D,A243,Statisztika!C:C,"valasz"))</f>
        <v/>
      </c>
      <c r="C243" s="10" t="str">
        <f aca="false">IF(A243="","",COUNTIFS(Statisztika!D:D,A243,Statisztika!G:G,"NEM"))</f>
        <v/>
      </c>
      <c r="D243" s="11" t="str">
        <f aca="false">IF(OR(A243="",B243=0),"",C243/B243)</f>
        <v/>
      </c>
      <c r="E243" s="10" t="str">
        <f aca="false">IF(A243="","",Csuszkak!C88)</f>
        <v/>
      </c>
    </row>
    <row r="244" customFormat="false" ht="15" hidden="false" customHeight="false" outlineLevel="0" collapsed="false">
      <c r="A244" s="10" t="str">
        <f aca="false">IF(Csuszkak!A89="","",Csuszkak!A89)</f>
        <v/>
      </c>
      <c r="B244" s="10" t="str">
        <f aca="false">IF(A244="","",COUNTIFS(Statisztika!D:D,A244,Statisztika!C:C,"valasz"))</f>
        <v/>
      </c>
      <c r="C244" s="10" t="str">
        <f aca="false">IF(A244="","",COUNTIFS(Statisztika!D:D,A244,Statisztika!G:G,"NEM"))</f>
        <v/>
      </c>
      <c r="D244" s="11" t="str">
        <f aca="false">IF(OR(A244="",B244=0),"",C244/B244)</f>
        <v/>
      </c>
      <c r="E244" s="10" t="str">
        <f aca="false">IF(A244="","",Csuszkak!C89)</f>
        <v/>
      </c>
    </row>
    <row r="245" customFormat="false" ht="15" hidden="false" customHeight="false" outlineLevel="0" collapsed="false">
      <c r="A245" s="10" t="str">
        <f aca="false">IF(Csuszkak!A90="","",Csuszkak!A90)</f>
        <v/>
      </c>
      <c r="B245" s="10" t="str">
        <f aca="false">IF(A245="","",COUNTIFS(Statisztika!D:D,A245,Statisztika!C:C,"valasz"))</f>
        <v/>
      </c>
      <c r="C245" s="10" t="str">
        <f aca="false">IF(A245="","",COUNTIFS(Statisztika!D:D,A245,Statisztika!G:G,"NEM"))</f>
        <v/>
      </c>
      <c r="D245" s="11" t="str">
        <f aca="false">IF(OR(A245="",B245=0),"",C245/B245)</f>
        <v/>
      </c>
      <c r="E245" s="10" t="str">
        <f aca="false">IF(A245="","",Csuszkak!C90)</f>
        <v/>
      </c>
    </row>
    <row r="246" customFormat="false" ht="15" hidden="false" customHeight="false" outlineLevel="0" collapsed="false">
      <c r="A246" s="10" t="str">
        <f aca="false">IF(Csuszkak!A91="","",Csuszkak!A91)</f>
        <v/>
      </c>
      <c r="B246" s="10" t="str">
        <f aca="false">IF(A246="","",COUNTIFS(Statisztika!D:D,A246,Statisztika!C:C,"valasz"))</f>
        <v/>
      </c>
      <c r="C246" s="10" t="str">
        <f aca="false">IF(A246="","",COUNTIFS(Statisztika!D:D,A246,Statisztika!G:G,"NEM"))</f>
        <v/>
      </c>
      <c r="D246" s="11" t="str">
        <f aca="false">IF(OR(A246="",B246=0),"",C246/B246)</f>
        <v/>
      </c>
      <c r="E246" s="10" t="str">
        <f aca="false">IF(A246="","",Csuszkak!C91)</f>
        <v/>
      </c>
    </row>
    <row r="247" customFormat="false" ht="15" hidden="false" customHeight="false" outlineLevel="0" collapsed="false">
      <c r="A247" s="10" t="str">
        <f aca="false">IF(Csuszkak!A92="","",Csuszkak!A92)</f>
        <v/>
      </c>
      <c r="B247" s="10" t="str">
        <f aca="false">IF(A247="","",COUNTIFS(Statisztika!D:D,A247,Statisztika!C:C,"valasz"))</f>
        <v/>
      </c>
      <c r="C247" s="10" t="str">
        <f aca="false">IF(A247="","",COUNTIFS(Statisztika!D:D,A247,Statisztika!G:G,"NEM"))</f>
        <v/>
      </c>
      <c r="D247" s="11" t="str">
        <f aca="false">IF(OR(A247="",B247=0),"",C247/B247)</f>
        <v/>
      </c>
      <c r="E247" s="10" t="str">
        <f aca="false">IF(A247="","",Csuszkak!C92)</f>
        <v/>
      </c>
    </row>
    <row r="248" customFormat="false" ht="15" hidden="false" customHeight="false" outlineLevel="0" collapsed="false">
      <c r="A248" s="10" t="str">
        <f aca="false">IF(Csuszkak!A93="","",Csuszkak!A93)</f>
        <v/>
      </c>
      <c r="B248" s="10" t="str">
        <f aca="false">IF(A248="","",COUNTIFS(Statisztika!D:D,A248,Statisztika!C:C,"valasz"))</f>
        <v/>
      </c>
      <c r="C248" s="10" t="str">
        <f aca="false">IF(A248="","",COUNTIFS(Statisztika!D:D,A248,Statisztika!G:G,"NEM"))</f>
        <v/>
      </c>
      <c r="D248" s="11" t="str">
        <f aca="false">IF(OR(A248="",B248=0),"",C248/B248)</f>
        <v/>
      </c>
      <c r="E248" s="10" t="str">
        <f aca="false">IF(A248="","",Csuszkak!C93)</f>
        <v/>
      </c>
    </row>
    <row r="249" customFormat="false" ht="15" hidden="false" customHeight="false" outlineLevel="0" collapsed="false">
      <c r="A249" s="10" t="str">
        <f aca="false">IF(Csuszkak!A94="","",Csuszkak!A94)</f>
        <v/>
      </c>
      <c r="B249" s="10" t="str">
        <f aca="false">IF(A249="","",COUNTIFS(Statisztika!D:D,A249,Statisztika!C:C,"valasz"))</f>
        <v/>
      </c>
      <c r="C249" s="10" t="str">
        <f aca="false">IF(A249="","",COUNTIFS(Statisztika!D:D,A249,Statisztika!G:G,"NEM"))</f>
        <v/>
      </c>
      <c r="D249" s="11" t="str">
        <f aca="false">IF(OR(A249="",B249=0),"",C249/B249)</f>
        <v/>
      </c>
      <c r="E249" s="10" t="str">
        <f aca="false">IF(A249="","",Csuszkak!C94)</f>
        <v/>
      </c>
    </row>
    <row r="250" customFormat="false" ht="15" hidden="false" customHeight="false" outlineLevel="0" collapsed="false">
      <c r="A250" s="10" t="str">
        <f aca="false">IF(Csuszkak!A95="","",Csuszkak!A95)</f>
        <v/>
      </c>
      <c r="B250" s="10" t="str">
        <f aca="false">IF(A250="","",COUNTIFS(Statisztika!D:D,A250,Statisztika!C:C,"valasz"))</f>
        <v/>
      </c>
      <c r="C250" s="10" t="str">
        <f aca="false">IF(A250="","",COUNTIFS(Statisztika!D:D,A250,Statisztika!G:G,"NEM"))</f>
        <v/>
      </c>
      <c r="D250" s="11" t="str">
        <f aca="false">IF(OR(A250="",B250=0),"",C250/B250)</f>
        <v/>
      </c>
      <c r="E250" s="10" t="str">
        <f aca="false">IF(A250="","",Csuszkak!C95)</f>
        <v/>
      </c>
    </row>
    <row r="251" customFormat="false" ht="15" hidden="false" customHeight="false" outlineLevel="0" collapsed="false">
      <c r="A251" s="10" t="str">
        <f aca="false">IF(Csuszkak!A96="","",Csuszkak!A96)</f>
        <v/>
      </c>
      <c r="B251" s="10" t="str">
        <f aca="false">IF(A251="","",COUNTIFS(Statisztika!D:D,A251,Statisztika!C:C,"valasz"))</f>
        <v/>
      </c>
      <c r="C251" s="10" t="str">
        <f aca="false">IF(A251="","",COUNTIFS(Statisztika!D:D,A251,Statisztika!G:G,"NEM"))</f>
        <v/>
      </c>
      <c r="D251" s="11" t="str">
        <f aca="false">IF(OR(A251="",B251=0),"",C251/B251)</f>
        <v/>
      </c>
      <c r="E251" s="10" t="str">
        <f aca="false">IF(A251="","",Csuszkak!C96)</f>
        <v/>
      </c>
    </row>
    <row r="252" customFormat="false" ht="15" hidden="false" customHeight="false" outlineLevel="0" collapsed="false">
      <c r="A252" s="10" t="str">
        <f aca="false">IF(Csuszkak!A97="","",Csuszkak!A97)</f>
        <v/>
      </c>
      <c r="B252" s="10" t="str">
        <f aca="false">IF(A252="","",COUNTIFS(Statisztika!D:D,A252,Statisztika!C:C,"valasz"))</f>
        <v/>
      </c>
      <c r="C252" s="10" t="str">
        <f aca="false">IF(A252="","",COUNTIFS(Statisztika!D:D,A252,Statisztika!G:G,"NEM"))</f>
        <v/>
      </c>
      <c r="D252" s="11" t="str">
        <f aca="false">IF(OR(A252="",B252=0),"",C252/B252)</f>
        <v/>
      </c>
      <c r="E252" s="10" t="str">
        <f aca="false">IF(A252="","",Csuszkak!C97)</f>
        <v/>
      </c>
    </row>
    <row r="253" customFormat="false" ht="15" hidden="false" customHeight="false" outlineLevel="0" collapsed="false">
      <c r="A253" s="10" t="str">
        <f aca="false">IF(Csuszkak!A98="","",Csuszkak!A98)</f>
        <v/>
      </c>
      <c r="B253" s="10" t="str">
        <f aca="false">IF(A253="","",COUNTIFS(Statisztika!D:D,A253,Statisztika!C:C,"valasz"))</f>
        <v/>
      </c>
      <c r="C253" s="10" t="str">
        <f aca="false">IF(A253="","",COUNTIFS(Statisztika!D:D,A253,Statisztika!G:G,"NEM"))</f>
        <v/>
      </c>
      <c r="D253" s="11" t="str">
        <f aca="false">IF(OR(A253="",B253=0),"",C253/B253)</f>
        <v/>
      </c>
      <c r="E253" s="10" t="str">
        <f aca="false">IF(A253="","",Csuszkak!C98)</f>
        <v/>
      </c>
    </row>
    <row r="254" customFormat="false" ht="15" hidden="false" customHeight="false" outlineLevel="0" collapsed="false">
      <c r="A254" s="10" t="str">
        <f aca="false">IF(Csuszkak!A99="","",Csuszkak!A99)</f>
        <v/>
      </c>
      <c r="B254" s="10" t="str">
        <f aca="false">IF(A254="","",COUNTIFS(Statisztika!D:D,A254,Statisztika!C:C,"valasz"))</f>
        <v/>
      </c>
      <c r="C254" s="10" t="str">
        <f aca="false">IF(A254="","",COUNTIFS(Statisztika!D:D,A254,Statisztika!G:G,"NEM"))</f>
        <v/>
      </c>
      <c r="D254" s="11" t="str">
        <f aca="false">IF(OR(A254="",B254=0),"",C254/B254)</f>
        <v/>
      </c>
      <c r="E254" s="10" t="str">
        <f aca="false">IF(A254="","",Csuszkak!C99)</f>
        <v/>
      </c>
    </row>
    <row r="255" customFormat="false" ht="15" hidden="false" customHeight="false" outlineLevel="0" collapsed="false">
      <c r="A255" s="10" t="str">
        <f aca="false">IF(Csuszkak!A100="","",Csuszkak!A100)</f>
        <v/>
      </c>
      <c r="B255" s="10" t="str">
        <f aca="false">IF(A255="","",COUNTIFS(Statisztika!D:D,A255,Statisztika!C:C,"valasz"))</f>
        <v/>
      </c>
      <c r="C255" s="10" t="str">
        <f aca="false">IF(A255="","",COUNTIFS(Statisztika!D:D,A255,Statisztika!G:G,"NEM"))</f>
        <v/>
      </c>
      <c r="D255" s="11" t="str">
        <f aca="false">IF(OR(A255="",B255=0),"",C255/B255)</f>
        <v/>
      </c>
      <c r="E255" s="10" t="str">
        <f aca="false">IF(A255="","",Csuszkak!C100)</f>
        <v/>
      </c>
    </row>
    <row r="256" customFormat="false" ht="15" hidden="false" customHeight="false" outlineLevel="0" collapsed="false">
      <c r="A256" s="10" t="str">
        <f aca="false">IF(Csuszkak!A101="","",Csuszkak!A101)</f>
        <v/>
      </c>
      <c r="B256" s="10" t="str">
        <f aca="false">IF(A256="","",COUNTIFS(Statisztika!D:D,A256,Statisztika!C:C,"valasz"))</f>
        <v/>
      </c>
      <c r="C256" s="10" t="str">
        <f aca="false">IF(A256="","",COUNTIFS(Statisztika!D:D,A256,Statisztika!G:G,"NEM"))</f>
        <v/>
      </c>
      <c r="D256" s="11" t="str">
        <f aca="false">IF(OR(A256="",B256=0),"",C256/B256)</f>
        <v/>
      </c>
      <c r="E256" s="10" t="str">
        <f aca="false">IF(A256="","",Csuszkak!C101)</f>
        <v/>
      </c>
    </row>
    <row r="257" customFormat="false" ht="15" hidden="false" customHeight="false" outlineLevel="0" collapsed="false">
      <c r="A257" s="10" t="str">
        <f aca="false">IF(Csuszkak!A102="","",Csuszkak!A102)</f>
        <v/>
      </c>
      <c r="B257" s="10" t="str">
        <f aca="false">IF(A257="","",COUNTIFS(Statisztika!D:D,A257,Statisztika!C:C,"valasz"))</f>
        <v/>
      </c>
      <c r="C257" s="10" t="str">
        <f aca="false">IF(A257="","",COUNTIFS(Statisztika!D:D,A257,Statisztika!G:G,"NEM"))</f>
        <v/>
      </c>
      <c r="D257" s="11" t="str">
        <f aca="false">IF(OR(A257="",B257=0),"",C257/B257)</f>
        <v/>
      </c>
      <c r="E257" s="10" t="str">
        <f aca="false">IF(A257="","",Csuszkak!C102)</f>
        <v/>
      </c>
    </row>
    <row r="258" customFormat="false" ht="15" hidden="false" customHeight="false" outlineLevel="0" collapsed="false">
      <c r="A258" s="10" t="str">
        <f aca="false">IF(Csuszkak!A103="","",Csuszkak!A103)</f>
        <v/>
      </c>
      <c r="B258" s="10" t="str">
        <f aca="false">IF(A258="","",COUNTIFS(Statisztika!D:D,A258,Statisztika!C:C,"valasz"))</f>
        <v/>
      </c>
      <c r="C258" s="10" t="str">
        <f aca="false">IF(A258="","",COUNTIFS(Statisztika!D:D,A258,Statisztika!G:G,"NEM"))</f>
        <v/>
      </c>
      <c r="D258" s="11" t="str">
        <f aca="false">IF(OR(A258="",B258=0),"",C258/B258)</f>
        <v/>
      </c>
      <c r="E258" s="10" t="str">
        <f aca="false">IF(A258="","",Csuszkak!C103)</f>
        <v/>
      </c>
    </row>
    <row r="259" customFormat="false" ht="15" hidden="false" customHeight="false" outlineLevel="0" collapsed="false">
      <c r="A259" s="10" t="str">
        <f aca="false">IF(Csuszkak!A104="","",Csuszkak!A104)</f>
        <v/>
      </c>
      <c r="B259" s="10" t="str">
        <f aca="false">IF(A259="","",COUNTIFS(Statisztika!D:D,A259,Statisztika!C:C,"valasz"))</f>
        <v/>
      </c>
      <c r="C259" s="10" t="str">
        <f aca="false">IF(A259="","",COUNTIFS(Statisztika!D:D,A259,Statisztika!G:G,"NEM"))</f>
        <v/>
      </c>
      <c r="D259" s="11" t="str">
        <f aca="false">IF(OR(A259="",B259=0),"",C259/B259)</f>
        <v/>
      </c>
      <c r="E259" s="10" t="str">
        <f aca="false">IF(A259="","",Csuszkak!C104)</f>
        <v/>
      </c>
    </row>
    <row r="260" customFormat="false" ht="15" hidden="false" customHeight="false" outlineLevel="0" collapsed="false">
      <c r="A260" s="10" t="str">
        <f aca="false">IF(Csuszkak!A105="","",Csuszkak!A105)</f>
        <v/>
      </c>
      <c r="B260" s="10" t="str">
        <f aca="false">IF(A260="","",COUNTIFS(Statisztika!D:D,A260,Statisztika!C:C,"valasz"))</f>
        <v/>
      </c>
      <c r="C260" s="10" t="str">
        <f aca="false">IF(A260="","",COUNTIFS(Statisztika!D:D,A260,Statisztika!G:G,"NEM"))</f>
        <v/>
      </c>
      <c r="D260" s="11" t="str">
        <f aca="false">IF(OR(A260="",B260=0),"",C260/B260)</f>
        <v/>
      </c>
      <c r="E260" s="10" t="str">
        <f aca="false">IF(A260="","",Csuszkak!C105)</f>
        <v/>
      </c>
    </row>
    <row r="261" customFormat="false" ht="15" hidden="false" customHeight="false" outlineLevel="0" collapsed="false">
      <c r="A261" s="10" t="str">
        <f aca="false">IF(Csuszkak!A106="","",Csuszkak!A106)</f>
        <v/>
      </c>
      <c r="B261" s="10" t="str">
        <f aca="false">IF(A261="","",COUNTIFS(Statisztika!D:D,A261,Statisztika!C:C,"valasz"))</f>
        <v/>
      </c>
      <c r="C261" s="10" t="str">
        <f aca="false">IF(A261="","",COUNTIFS(Statisztika!D:D,A261,Statisztika!G:G,"NEM"))</f>
        <v/>
      </c>
      <c r="D261" s="11" t="str">
        <f aca="false">IF(OR(A261="",B261=0),"",C261/B261)</f>
        <v/>
      </c>
      <c r="E261" s="10" t="str">
        <f aca="false">IF(A261="","",Csuszkak!C106)</f>
        <v/>
      </c>
    </row>
    <row r="262" customFormat="false" ht="15" hidden="false" customHeight="false" outlineLevel="0" collapsed="false">
      <c r="A262" s="10" t="str">
        <f aca="false">IF(Csuszkak!A107="","",Csuszkak!A107)</f>
        <v/>
      </c>
      <c r="B262" s="10" t="str">
        <f aca="false">IF(A262="","",COUNTIFS(Statisztika!D:D,A262,Statisztika!C:C,"valasz"))</f>
        <v/>
      </c>
      <c r="C262" s="10" t="str">
        <f aca="false">IF(A262="","",COUNTIFS(Statisztika!D:D,A262,Statisztika!G:G,"NEM"))</f>
        <v/>
      </c>
      <c r="D262" s="11" t="str">
        <f aca="false">IF(OR(A262="",B262=0),"",C262/B262)</f>
        <v/>
      </c>
      <c r="E262" s="10" t="str">
        <f aca="false">IF(A262="","",Csuszkak!C107)</f>
        <v/>
      </c>
    </row>
    <row r="263" customFormat="false" ht="15" hidden="false" customHeight="false" outlineLevel="0" collapsed="false">
      <c r="A263" s="10" t="str">
        <f aca="false">IF(Csuszkak!A108="","",Csuszkak!A108)</f>
        <v/>
      </c>
      <c r="B263" s="10" t="str">
        <f aca="false">IF(A263="","",COUNTIFS(Statisztika!D:D,A263,Statisztika!C:C,"valasz"))</f>
        <v/>
      </c>
      <c r="C263" s="10" t="str">
        <f aca="false">IF(A263="","",COUNTIFS(Statisztika!D:D,A263,Statisztika!G:G,"NEM"))</f>
        <v/>
      </c>
      <c r="D263" s="11" t="str">
        <f aca="false">IF(OR(A263="",B263=0),"",C263/B263)</f>
        <v/>
      </c>
      <c r="E263" s="10" t="str">
        <f aca="false">IF(A263="","",Csuszkak!C108)</f>
        <v/>
      </c>
    </row>
    <row r="264" customFormat="false" ht="15" hidden="false" customHeight="false" outlineLevel="0" collapsed="false">
      <c r="A264" s="10" t="str">
        <f aca="false">IF(Csuszkak!A109="","",Csuszkak!A109)</f>
        <v/>
      </c>
      <c r="B264" s="10" t="str">
        <f aca="false">IF(A264="","",COUNTIFS(Statisztika!D:D,A264,Statisztika!C:C,"valasz"))</f>
        <v/>
      </c>
      <c r="C264" s="10" t="str">
        <f aca="false">IF(A264="","",COUNTIFS(Statisztika!D:D,A264,Statisztika!G:G,"NEM"))</f>
        <v/>
      </c>
      <c r="D264" s="11" t="str">
        <f aca="false">IF(OR(A264="",B264=0),"",C264/B264)</f>
        <v/>
      </c>
      <c r="E264" s="10" t="str">
        <f aca="false">IF(A264="","",Csuszkak!C109)</f>
        <v/>
      </c>
    </row>
    <row r="265" customFormat="false" ht="15" hidden="false" customHeight="false" outlineLevel="0" collapsed="false">
      <c r="A265" s="10" t="str">
        <f aca="false">IF(Csuszkak!A110="","",Csuszkak!A110)</f>
        <v/>
      </c>
      <c r="B265" s="10" t="str">
        <f aca="false">IF(A265="","",COUNTIFS(Statisztika!D:D,A265,Statisztika!C:C,"valasz"))</f>
        <v/>
      </c>
      <c r="C265" s="10" t="str">
        <f aca="false">IF(A265="","",COUNTIFS(Statisztika!D:D,A265,Statisztika!G:G,"NEM"))</f>
        <v/>
      </c>
      <c r="D265" s="11" t="str">
        <f aca="false">IF(OR(A265="",B265=0),"",C265/B265)</f>
        <v/>
      </c>
      <c r="E265" s="10" t="str">
        <f aca="false">IF(A265="","",Csuszkak!C110)</f>
        <v/>
      </c>
    </row>
    <row r="266" customFormat="false" ht="15" hidden="false" customHeight="false" outlineLevel="0" collapsed="false">
      <c r="A266" s="10" t="str">
        <f aca="false">IF(Csuszkak!A111="","",Csuszkak!A111)</f>
        <v/>
      </c>
      <c r="B266" s="10" t="str">
        <f aca="false">IF(A266="","",COUNTIFS(Statisztika!D:D,A266,Statisztika!C:C,"valasz"))</f>
        <v/>
      </c>
      <c r="C266" s="10" t="str">
        <f aca="false">IF(A266="","",COUNTIFS(Statisztika!D:D,A266,Statisztika!G:G,"NEM"))</f>
        <v/>
      </c>
      <c r="D266" s="11" t="str">
        <f aca="false">IF(OR(A266="",B266=0),"",C266/B266)</f>
        <v/>
      </c>
      <c r="E266" s="10" t="str">
        <f aca="false">IF(A266="","",Csuszkak!C111)</f>
        <v/>
      </c>
    </row>
    <row r="267" customFormat="false" ht="15" hidden="false" customHeight="false" outlineLevel="0" collapsed="false">
      <c r="A267" s="10" t="str">
        <f aca="false">IF(Csuszkak!A112="","",Csuszkak!A112)</f>
        <v/>
      </c>
      <c r="B267" s="10" t="str">
        <f aca="false">IF(A267="","",COUNTIFS(Statisztika!D:D,A267,Statisztika!C:C,"valasz"))</f>
        <v/>
      </c>
      <c r="C267" s="10" t="str">
        <f aca="false">IF(A267="","",COUNTIFS(Statisztika!D:D,A267,Statisztika!G:G,"NEM"))</f>
        <v/>
      </c>
      <c r="D267" s="11" t="str">
        <f aca="false">IF(OR(A267="",B267=0),"",C267/B267)</f>
        <v/>
      </c>
      <c r="E267" s="10" t="str">
        <f aca="false">IF(A267="","",Csuszkak!C112)</f>
        <v/>
      </c>
    </row>
    <row r="268" customFormat="false" ht="15" hidden="false" customHeight="false" outlineLevel="0" collapsed="false">
      <c r="A268" s="10" t="str">
        <f aca="false">IF(Csuszkak!A113="","",Csuszkak!A113)</f>
        <v/>
      </c>
      <c r="B268" s="10" t="str">
        <f aca="false">IF(A268="","",COUNTIFS(Statisztika!D:D,A268,Statisztika!C:C,"valasz"))</f>
        <v/>
      </c>
      <c r="C268" s="10" t="str">
        <f aca="false">IF(A268="","",COUNTIFS(Statisztika!D:D,A268,Statisztika!G:G,"NEM"))</f>
        <v/>
      </c>
      <c r="D268" s="11" t="str">
        <f aca="false">IF(OR(A268="",B268=0),"",C268/B268)</f>
        <v/>
      </c>
      <c r="E268" s="10" t="str">
        <f aca="false">IF(A268="","",Csuszkak!C113)</f>
        <v/>
      </c>
    </row>
    <row r="269" customFormat="false" ht="15" hidden="false" customHeight="false" outlineLevel="0" collapsed="false">
      <c r="A269" s="10" t="str">
        <f aca="false">IF(Csuszkak!A114="","",Csuszkak!A114)</f>
        <v/>
      </c>
      <c r="B269" s="10" t="str">
        <f aca="false">IF(A269="","",COUNTIFS(Statisztika!D:D,A269,Statisztika!C:C,"valasz"))</f>
        <v/>
      </c>
      <c r="C269" s="10" t="str">
        <f aca="false">IF(A269="","",COUNTIFS(Statisztika!D:D,A269,Statisztika!G:G,"NEM"))</f>
        <v/>
      </c>
      <c r="D269" s="11" t="str">
        <f aca="false">IF(OR(A269="",B269=0),"",C269/B269)</f>
        <v/>
      </c>
      <c r="E269" s="10" t="str">
        <f aca="false">IF(A269="","",Csuszkak!C114)</f>
        <v/>
      </c>
    </row>
    <row r="270" customFormat="false" ht="15" hidden="false" customHeight="false" outlineLevel="0" collapsed="false">
      <c r="A270" s="10" t="str">
        <f aca="false">IF(Csuszkak!A115="","",Csuszkak!A115)</f>
        <v/>
      </c>
      <c r="B270" s="10" t="str">
        <f aca="false">IF(A270="","",COUNTIFS(Statisztika!D:D,A270,Statisztika!C:C,"valasz"))</f>
        <v/>
      </c>
      <c r="C270" s="10" t="str">
        <f aca="false">IF(A270="","",COUNTIFS(Statisztika!D:D,A270,Statisztika!G:G,"NEM"))</f>
        <v/>
      </c>
      <c r="D270" s="11" t="str">
        <f aca="false">IF(OR(A270="",B270=0),"",C270/B270)</f>
        <v/>
      </c>
      <c r="E270" s="10" t="str">
        <f aca="false">IF(A270="","",Csuszkak!C115)</f>
        <v/>
      </c>
    </row>
    <row r="271" customFormat="false" ht="15" hidden="false" customHeight="false" outlineLevel="0" collapsed="false">
      <c r="A271" s="10" t="str">
        <f aca="false">IF(Csuszkak!A116="","",Csuszkak!A116)</f>
        <v/>
      </c>
      <c r="B271" s="10" t="str">
        <f aca="false">IF(A271="","",COUNTIFS(Statisztika!D:D,A271,Statisztika!C:C,"valasz"))</f>
        <v/>
      </c>
      <c r="C271" s="10" t="str">
        <f aca="false">IF(A271="","",COUNTIFS(Statisztika!D:D,A271,Statisztika!G:G,"NEM"))</f>
        <v/>
      </c>
      <c r="D271" s="11" t="str">
        <f aca="false">IF(OR(A271="",B271=0),"",C271/B271)</f>
        <v/>
      </c>
      <c r="E271" s="10" t="str">
        <f aca="false">IF(A271="","",Csuszkak!C116)</f>
        <v/>
      </c>
    </row>
    <row r="272" customFormat="false" ht="15" hidden="false" customHeight="false" outlineLevel="0" collapsed="false">
      <c r="A272" s="10" t="str">
        <f aca="false">IF(Csuszkak!A117="","",Csuszkak!A117)</f>
        <v/>
      </c>
      <c r="B272" s="10" t="str">
        <f aca="false">IF(A272="","",COUNTIFS(Statisztika!D:D,A272,Statisztika!C:C,"valasz"))</f>
        <v/>
      </c>
      <c r="C272" s="10" t="str">
        <f aca="false">IF(A272="","",COUNTIFS(Statisztika!D:D,A272,Statisztika!G:G,"NEM"))</f>
        <v/>
      </c>
      <c r="D272" s="11" t="str">
        <f aca="false">IF(OR(A272="",B272=0),"",C272/B272)</f>
        <v/>
      </c>
      <c r="E272" s="10" t="str">
        <f aca="false">IF(A272="","",Csuszkak!C117)</f>
        <v/>
      </c>
    </row>
    <row r="273" customFormat="false" ht="15" hidden="false" customHeight="false" outlineLevel="0" collapsed="false">
      <c r="A273" s="10" t="str">
        <f aca="false">IF(Csuszkak!A118="","",Csuszkak!A118)</f>
        <v/>
      </c>
      <c r="B273" s="10" t="str">
        <f aca="false">IF(A273="","",COUNTIFS(Statisztika!D:D,A273,Statisztika!C:C,"valasz"))</f>
        <v/>
      </c>
      <c r="C273" s="10" t="str">
        <f aca="false">IF(A273="","",COUNTIFS(Statisztika!D:D,A273,Statisztika!G:G,"NEM"))</f>
        <v/>
      </c>
      <c r="D273" s="11" t="str">
        <f aca="false">IF(OR(A273="",B273=0),"",C273/B273)</f>
        <v/>
      </c>
      <c r="E273" s="10" t="str">
        <f aca="false">IF(A273="","",Csuszkak!C118)</f>
        <v/>
      </c>
    </row>
    <row r="274" customFormat="false" ht="15" hidden="false" customHeight="false" outlineLevel="0" collapsed="false">
      <c r="A274" s="10" t="str">
        <f aca="false">IF(Csuszkak!A119="","",Csuszkak!A119)</f>
        <v/>
      </c>
      <c r="B274" s="10" t="str">
        <f aca="false">IF(A274="","",COUNTIFS(Statisztika!D:D,A274,Statisztika!C:C,"valasz"))</f>
        <v/>
      </c>
      <c r="C274" s="10" t="str">
        <f aca="false">IF(A274="","",COUNTIFS(Statisztika!D:D,A274,Statisztika!G:G,"NEM"))</f>
        <v/>
      </c>
      <c r="D274" s="11" t="str">
        <f aca="false">IF(OR(A274="",B274=0),"",C274/B274)</f>
        <v/>
      </c>
      <c r="E274" s="10" t="str">
        <f aca="false">IF(A274="","",Csuszkak!C119)</f>
        <v/>
      </c>
    </row>
    <row r="275" customFormat="false" ht="15" hidden="false" customHeight="false" outlineLevel="0" collapsed="false">
      <c r="A275" s="10" t="str">
        <f aca="false">IF(Csuszkak!A120="","",Csuszkak!A120)</f>
        <v/>
      </c>
      <c r="B275" s="10" t="str">
        <f aca="false">IF(A275="","",COUNTIFS(Statisztika!D:D,A275,Statisztika!C:C,"valasz"))</f>
        <v/>
      </c>
      <c r="C275" s="10" t="str">
        <f aca="false">IF(A275="","",COUNTIFS(Statisztika!D:D,A275,Statisztika!G:G,"NEM"))</f>
        <v/>
      </c>
      <c r="D275" s="11" t="str">
        <f aca="false">IF(OR(A275="",B275=0),"",C275/B275)</f>
        <v/>
      </c>
      <c r="E275" s="10" t="str">
        <f aca="false">IF(A275="","",Csuszkak!C120)</f>
        <v/>
      </c>
    </row>
    <row r="276" customFormat="false" ht="15" hidden="false" customHeight="false" outlineLevel="0" collapsed="false">
      <c r="A276" s="10" t="str">
        <f aca="false">IF(Csuszkak!A121="","",Csuszkak!A121)</f>
        <v/>
      </c>
      <c r="B276" s="10" t="str">
        <f aca="false">IF(A276="","",COUNTIFS(Statisztika!D:D,A276,Statisztika!C:C,"valasz"))</f>
        <v/>
      </c>
      <c r="C276" s="10" t="str">
        <f aca="false">IF(A276="","",COUNTIFS(Statisztika!D:D,A276,Statisztika!G:G,"NEM"))</f>
        <v/>
      </c>
      <c r="D276" s="11" t="str">
        <f aca="false">IF(OR(A276="",B276=0),"",C276/B276)</f>
        <v/>
      </c>
      <c r="E276" s="10" t="str">
        <f aca="false">IF(A276="","",Csuszkak!C121)</f>
        <v/>
      </c>
    </row>
    <row r="277" customFormat="false" ht="15" hidden="false" customHeight="false" outlineLevel="0" collapsed="false">
      <c r="A277" s="10" t="str">
        <f aca="false">IF(Csuszkak!A122="","",Csuszkak!A122)</f>
        <v/>
      </c>
      <c r="B277" s="10" t="str">
        <f aca="false">IF(A277="","",COUNTIFS(Statisztika!D:D,A277,Statisztika!C:C,"valasz"))</f>
        <v/>
      </c>
      <c r="C277" s="10" t="str">
        <f aca="false">IF(A277="","",COUNTIFS(Statisztika!D:D,A277,Statisztika!G:G,"NEM"))</f>
        <v/>
      </c>
      <c r="D277" s="11" t="str">
        <f aca="false">IF(OR(A277="",B277=0),"",C277/B277)</f>
        <v/>
      </c>
      <c r="E277" s="10" t="str">
        <f aca="false">IF(A277="","",Csuszkak!C122)</f>
        <v/>
      </c>
    </row>
    <row r="278" customFormat="false" ht="15" hidden="false" customHeight="false" outlineLevel="0" collapsed="false">
      <c r="A278" s="10" t="str">
        <f aca="false">IF(Csuszkak!A123="","",Csuszkak!A123)</f>
        <v/>
      </c>
      <c r="B278" s="10" t="str">
        <f aca="false">IF(A278="","",COUNTIFS(Statisztika!D:D,A278,Statisztika!C:C,"valasz"))</f>
        <v/>
      </c>
      <c r="C278" s="10" t="str">
        <f aca="false">IF(A278="","",COUNTIFS(Statisztika!D:D,A278,Statisztika!G:G,"NEM"))</f>
        <v/>
      </c>
      <c r="D278" s="11" t="str">
        <f aca="false">IF(OR(A278="",B278=0),"",C278/B278)</f>
        <v/>
      </c>
      <c r="E278" s="10" t="str">
        <f aca="false">IF(A278="","",Csuszkak!C123)</f>
        <v/>
      </c>
    </row>
    <row r="279" customFormat="false" ht="15" hidden="false" customHeight="false" outlineLevel="0" collapsed="false">
      <c r="A279" s="10" t="str">
        <f aca="false">IF(Csuszkak!A124="","",Csuszkak!A124)</f>
        <v/>
      </c>
      <c r="B279" s="10" t="str">
        <f aca="false">IF(A279="","",COUNTIFS(Statisztika!D:D,A279,Statisztika!C:C,"valasz"))</f>
        <v/>
      </c>
      <c r="C279" s="10" t="str">
        <f aca="false">IF(A279="","",COUNTIFS(Statisztika!D:D,A279,Statisztika!G:G,"NEM"))</f>
        <v/>
      </c>
      <c r="D279" s="11" t="str">
        <f aca="false">IF(OR(A279="",B279=0),"",C279/B279)</f>
        <v/>
      </c>
      <c r="E279" s="10" t="str">
        <f aca="false">IF(A279="","",Csuszkak!C124)</f>
        <v/>
      </c>
    </row>
    <row r="280" customFormat="false" ht="15" hidden="false" customHeight="false" outlineLevel="0" collapsed="false">
      <c r="A280" s="10" t="str">
        <f aca="false">IF(Csuszkak!A125="","",Csuszkak!A125)</f>
        <v/>
      </c>
      <c r="B280" s="10" t="str">
        <f aca="false">IF(A280="","",COUNTIFS(Statisztika!D:D,A280,Statisztika!C:C,"valasz"))</f>
        <v/>
      </c>
      <c r="C280" s="10" t="str">
        <f aca="false">IF(A280="","",COUNTIFS(Statisztika!D:D,A280,Statisztika!G:G,"NEM"))</f>
        <v/>
      </c>
      <c r="D280" s="11" t="str">
        <f aca="false">IF(OR(A280="",B280=0),"",C280/B280)</f>
        <v/>
      </c>
      <c r="E280" s="10" t="str">
        <f aca="false">IF(A280="","",Csuszkak!C125)</f>
        <v/>
      </c>
    </row>
    <row r="281" customFormat="false" ht="15" hidden="false" customHeight="false" outlineLevel="0" collapsed="false">
      <c r="A281" s="10" t="str">
        <f aca="false">IF(Csuszkak!A126="","",Csuszkak!A126)</f>
        <v/>
      </c>
      <c r="B281" s="10" t="str">
        <f aca="false">IF(A281="","",COUNTIFS(Statisztika!D:D,A281,Statisztika!C:C,"valasz"))</f>
        <v/>
      </c>
      <c r="C281" s="10" t="str">
        <f aca="false">IF(A281="","",COUNTIFS(Statisztika!D:D,A281,Statisztika!G:G,"NEM"))</f>
        <v/>
      </c>
      <c r="D281" s="11" t="str">
        <f aca="false">IF(OR(A281="",B281=0),"",C281/B281)</f>
        <v/>
      </c>
      <c r="E281" s="10" t="str">
        <f aca="false">IF(A281="","",Csuszkak!C126)</f>
        <v/>
      </c>
    </row>
    <row r="282" customFormat="false" ht="15" hidden="false" customHeight="false" outlineLevel="0" collapsed="false">
      <c r="A282" s="10" t="str">
        <f aca="false">IF(Csuszkak!A127="","",Csuszkak!A127)</f>
        <v/>
      </c>
      <c r="B282" s="10" t="str">
        <f aca="false">IF(A282="","",COUNTIFS(Statisztika!D:D,A282,Statisztika!C:C,"valasz"))</f>
        <v/>
      </c>
      <c r="C282" s="10" t="str">
        <f aca="false">IF(A282="","",COUNTIFS(Statisztika!D:D,A282,Statisztika!G:G,"NEM"))</f>
        <v/>
      </c>
      <c r="D282" s="11" t="str">
        <f aca="false">IF(OR(A282="",B282=0),"",C282/B282)</f>
        <v/>
      </c>
      <c r="E282" s="10" t="str">
        <f aca="false">IF(A282="","",Csuszkak!C127)</f>
        <v/>
      </c>
    </row>
    <row r="283" customFormat="false" ht="15" hidden="false" customHeight="false" outlineLevel="0" collapsed="false">
      <c r="A283" s="10" t="str">
        <f aca="false">IF(Csuszkak!A128="","",Csuszkak!A128)</f>
        <v/>
      </c>
      <c r="B283" s="10" t="str">
        <f aca="false">IF(A283="","",COUNTIFS(Statisztika!D:D,A283,Statisztika!C:C,"valasz"))</f>
        <v/>
      </c>
      <c r="C283" s="10" t="str">
        <f aca="false">IF(A283="","",COUNTIFS(Statisztika!D:D,A283,Statisztika!G:G,"NEM"))</f>
        <v/>
      </c>
      <c r="D283" s="11" t="str">
        <f aca="false">IF(OR(A283="",B283=0),"",C283/B283)</f>
        <v/>
      </c>
      <c r="E283" s="10" t="str">
        <f aca="false">IF(A283="","",Csuszkak!C128)</f>
        <v/>
      </c>
    </row>
    <row r="284" customFormat="false" ht="15" hidden="false" customHeight="false" outlineLevel="0" collapsed="false">
      <c r="A284" s="10" t="str">
        <f aca="false">IF(Csuszkak!A129="","",Csuszkak!A129)</f>
        <v/>
      </c>
      <c r="B284" s="10" t="str">
        <f aca="false">IF(A284="","",COUNTIFS(Statisztika!D:D,A284,Statisztika!C:C,"valasz"))</f>
        <v/>
      </c>
      <c r="C284" s="10" t="str">
        <f aca="false">IF(A284="","",COUNTIFS(Statisztika!D:D,A284,Statisztika!G:G,"NEM"))</f>
        <v/>
      </c>
      <c r="D284" s="11" t="str">
        <f aca="false">IF(OR(A284="",B284=0),"",C284/B284)</f>
        <v/>
      </c>
      <c r="E284" s="10" t="str">
        <f aca="false">IF(A284="","",Csuszkak!C129)</f>
        <v/>
      </c>
    </row>
    <row r="285" customFormat="false" ht="15" hidden="false" customHeight="false" outlineLevel="0" collapsed="false">
      <c r="A285" s="10" t="str">
        <f aca="false">IF(Csuszkak!A130="","",Csuszkak!A130)</f>
        <v/>
      </c>
      <c r="B285" s="10" t="str">
        <f aca="false">IF(A285="","",COUNTIFS(Statisztika!D:D,A285,Statisztika!C:C,"valasz"))</f>
        <v/>
      </c>
      <c r="C285" s="10" t="str">
        <f aca="false">IF(A285="","",COUNTIFS(Statisztika!D:D,A285,Statisztika!G:G,"NEM"))</f>
        <v/>
      </c>
      <c r="D285" s="11" t="str">
        <f aca="false">IF(OR(A285="",B285=0),"",C285/B285)</f>
        <v/>
      </c>
      <c r="E285" s="10" t="str">
        <f aca="false">IF(A285="","",Csuszkak!C130)</f>
        <v/>
      </c>
    </row>
    <row r="286" customFormat="false" ht="15" hidden="false" customHeight="false" outlineLevel="0" collapsed="false">
      <c r="A286" s="10" t="str">
        <f aca="false">IF(Csuszkak!A131="","",Csuszkak!A131)</f>
        <v/>
      </c>
      <c r="B286" s="10" t="str">
        <f aca="false">IF(A286="","",COUNTIFS(Statisztika!D:D,A286,Statisztika!C:C,"valasz"))</f>
        <v/>
      </c>
      <c r="C286" s="10" t="str">
        <f aca="false">IF(A286="","",COUNTIFS(Statisztika!D:D,A286,Statisztika!G:G,"NEM"))</f>
        <v/>
      </c>
      <c r="D286" s="11" t="str">
        <f aca="false">IF(OR(A286="",B286=0),"",C286/B286)</f>
        <v/>
      </c>
      <c r="E286" s="10" t="str">
        <f aca="false">IF(A286="","",Csuszkak!C131)</f>
        <v/>
      </c>
    </row>
    <row r="287" customFormat="false" ht="15" hidden="false" customHeight="false" outlineLevel="0" collapsed="false">
      <c r="A287" s="10" t="str">
        <f aca="false">IF(Csuszkak!A132="","",Csuszkak!A132)</f>
        <v/>
      </c>
      <c r="B287" s="10" t="str">
        <f aca="false">IF(A287="","",COUNTIFS(Statisztika!D:D,A287,Statisztika!C:C,"valasz"))</f>
        <v/>
      </c>
      <c r="C287" s="10" t="str">
        <f aca="false">IF(A287="","",COUNTIFS(Statisztika!D:D,A287,Statisztika!G:G,"NEM"))</f>
        <v/>
      </c>
      <c r="D287" s="11" t="str">
        <f aca="false">IF(OR(A287="",B287=0),"",C287/B287)</f>
        <v/>
      </c>
      <c r="E287" s="10" t="str">
        <f aca="false">IF(A287="","",Csuszkak!C132)</f>
        <v/>
      </c>
    </row>
    <row r="288" customFormat="false" ht="15" hidden="false" customHeight="false" outlineLevel="0" collapsed="false">
      <c r="A288" s="10" t="str">
        <f aca="false">IF(Csuszkak!A133="","",Csuszkak!A133)</f>
        <v/>
      </c>
      <c r="B288" s="10" t="str">
        <f aca="false">IF(A288="","",COUNTIFS(Statisztika!D:D,A288,Statisztika!C:C,"valasz"))</f>
        <v/>
      </c>
      <c r="C288" s="10" t="str">
        <f aca="false">IF(A288="","",COUNTIFS(Statisztika!D:D,A288,Statisztika!G:G,"NEM"))</f>
        <v/>
      </c>
      <c r="D288" s="11" t="str">
        <f aca="false">IF(OR(A288="",B288=0),"",C288/B288)</f>
        <v/>
      </c>
      <c r="E288" s="10" t="str">
        <f aca="false">IF(A288="","",Csuszkak!C133)</f>
        <v/>
      </c>
    </row>
    <row r="289" customFormat="false" ht="15" hidden="false" customHeight="false" outlineLevel="0" collapsed="false">
      <c r="A289" s="10" t="str">
        <f aca="false">IF(Csuszkak!A134="","",Csuszkak!A134)</f>
        <v/>
      </c>
      <c r="B289" s="10" t="str">
        <f aca="false">IF(A289="","",COUNTIFS(Statisztika!D:D,A289,Statisztika!C:C,"valasz"))</f>
        <v/>
      </c>
      <c r="C289" s="10" t="str">
        <f aca="false">IF(A289="","",COUNTIFS(Statisztika!D:D,A289,Statisztika!G:G,"NEM"))</f>
        <v/>
      </c>
      <c r="D289" s="11" t="str">
        <f aca="false">IF(OR(A289="",B289=0),"",C289/B289)</f>
        <v/>
      </c>
      <c r="E289" s="10" t="str">
        <f aca="false">IF(A289="","",Csuszkak!C134)</f>
        <v/>
      </c>
    </row>
    <row r="290" customFormat="false" ht="15" hidden="false" customHeight="false" outlineLevel="0" collapsed="false">
      <c r="A290" s="10" t="str">
        <f aca="false">IF(Csuszkak!A135="","",Csuszkak!A135)</f>
        <v/>
      </c>
      <c r="B290" s="10" t="str">
        <f aca="false">IF(A290="","",COUNTIFS(Statisztika!D:D,A290,Statisztika!C:C,"valasz"))</f>
        <v/>
      </c>
      <c r="C290" s="10" t="str">
        <f aca="false">IF(A290="","",COUNTIFS(Statisztika!D:D,A290,Statisztika!G:G,"NEM"))</f>
        <v/>
      </c>
      <c r="D290" s="11" t="str">
        <f aca="false">IF(OR(A290="",B290=0),"",C290/B290)</f>
        <v/>
      </c>
      <c r="E290" s="10" t="str">
        <f aca="false">IF(A290="","",Csuszkak!C135)</f>
        <v/>
      </c>
    </row>
    <row r="291" customFormat="false" ht="15" hidden="false" customHeight="false" outlineLevel="0" collapsed="false">
      <c r="A291" s="10" t="str">
        <f aca="false">IF(Csuszkak!A136="","",Csuszkak!A136)</f>
        <v/>
      </c>
      <c r="B291" s="10" t="str">
        <f aca="false">IF(A291="","",COUNTIFS(Statisztika!D:D,A291,Statisztika!C:C,"valasz"))</f>
        <v/>
      </c>
      <c r="C291" s="10" t="str">
        <f aca="false">IF(A291="","",COUNTIFS(Statisztika!D:D,A291,Statisztika!G:G,"NEM"))</f>
        <v/>
      </c>
      <c r="D291" s="11" t="str">
        <f aca="false">IF(OR(A291="",B291=0),"",C291/B291)</f>
        <v/>
      </c>
      <c r="E291" s="10" t="str">
        <f aca="false">IF(A291="","",Csuszkak!C136)</f>
        <v/>
      </c>
    </row>
    <row r="292" customFormat="false" ht="15" hidden="false" customHeight="false" outlineLevel="0" collapsed="false">
      <c r="A292" s="10" t="str">
        <f aca="false">IF(Csuszkak!A137="","",Csuszkak!A137)</f>
        <v/>
      </c>
      <c r="B292" s="10" t="str">
        <f aca="false">IF(A292="","",COUNTIFS(Statisztika!D:D,A292,Statisztika!C:C,"valasz"))</f>
        <v/>
      </c>
      <c r="C292" s="10" t="str">
        <f aca="false">IF(A292="","",COUNTIFS(Statisztika!D:D,A292,Statisztika!G:G,"NEM"))</f>
        <v/>
      </c>
      <c r="D292" s="11" t="str">
        <f aca="false">IF(OR(A292="",B292=0),"",C292/B292)</f>
        <v/>
      </c>
      <c r="E292" s="10" t="str">
        <f aca="false">IF(A292="","",Csuszkak!C137)</f>
        <v/>
      </c>
    </row>
    <row r="293" customFormat="false" ht="15" hidden="false" customHeight="false" outlineLevel="0" collapsed="false">
      <c r="A293" s="10" t="str">
        <f aca="false">IF(Csuszkak!A138="","",Csuszkak!A138)</f>
        <v/>
      </c>
      <c r="B293" s="10" t="str">
        <f aca="false">IF(A293="","",COUNTIFS(Statisztika!D:D,A293,Statisztika!C:C,"valasz"))</f>
        <v/>
      </c>
      <c r="C293" s="10" t="str">
        <f aca="false">IF(A293="","",COUNTIFS(Statisztika!D:D,A293,Statisztika!G:G,"NEM"))</f>
        <v/>
      </c>
      <c r="D293" s="11" t="str">
        <f aca="false">IF(OR(A293="",B293=0),"",C293/B293)</f>
        <v/>
      </c>
      <c r="E293" s="10" t="str">
        <f aca="false">IF(A293="","",Csuszkak!C138)</f>
        <v/>
      </c>
    </row>
    <row r="294" customFormat="false" ht="15" hidden="false" customHeight="false" outlineLevel="0" collapsed="false">
      <c r="A294" s="10" t="str">
        <f aca="false">IF(Csuszkak!A139="","",Csuszkak!A139)</f>
        <v/>
      </c>
      <c r="B294" s="10" t="str">
        <f aca="false">IF(A294="","",COUNTIFS(Statisztika!D:D,A294,Statisztika!C:C,"valasz"))</f>
        <v/>
      </c>
      <c r="C294" s="10" t="str">
        <f aca="false">IF(A294="","",COUNTIFS(Statisztika!D:D,A294,Statisztika!G:G,"NEM"))</f>
        <v/>
      </c>
      <c r="D294" s="11" t="str">
        <f aca="false">IF(OR(A294="",B294=0),"",C294/B294)</f>
        <v/>
      </c>
      <c r="E294" s="10" t="str">
        <f aca="false">IF(A294="","",Csuszkak!C139)</f>
        <v/>
      </c>
    </row>
    <row r="295" customFormat="false" ht="15" hidden="false" customHeight="false" outlineLevel="0" collapsed="false">
      <c r="A295" s="10" t="str">
        <f aca="false">IF(Csuszkak!A140="","",Csuszkak!A140)</f>
        <v/>
      </c>
      <c r="B295" s="10" t="str">
        <f aca="false">IF(A295="","",COUNTIFS(Statisztika!D:D,A295,Statisztika!C:C,"valasz"))</f>
        <v/>
      </c>
      <c r="C295" s="10" t="str">
        <f aca="false">IF(A295="","",COUNTIFS(Statisztika!D:D,A295,Statisztika!G:G,"NEM"))</f>
        <v/>
      </c>
      <c r="D295" s="11" t="str">
        <f aca="false">IF(OR(A295="",B295=0),"",C295/B295)</f>
        <v/>
      </c>
      <c r="E295" s="10" t="str">
        <f aca="false">IF(A295="","",Csuszkak!C140)</f>
        <v/>
      </c>
    </row>
    <row r="296" customFormat="false" ht="15" hidden="false" customHeight="false" outlineLevel="0" collapsed="false">
      <c r="A296" s="10" t="str">
        <f aca="false">IF(Csuszkak!A141="","",Csuszkak!A141)</f>
        <v/>
      </c>
      <c r="B296" s="10" t="str">
        <f aca="false">IF(A296="","",COUNTIFS(Statisztika!D:D,A296,Statisztika!C:C,"valasz"))</f>
        <v/>
      </c>
      <c r="C296" s="10" t="str">
        <f aca="false">IF(A296="","",COUNTIFS(Statisztika!D:D,A296,Statisztika!G:G,"NEM"))</f>
        <v/>
      </c>
      <c r="D296" s="11" t="str">
        <f aca="false">IF(OR(A296="",B296=0),"",C296/B296)</f>
        <v/>
      </c>
      <c r="E296" s="10" t="str">
        <f aca="false">IF(A296="","",Csuszkak!C141)</f>
        <v/>
      </c>
    </row>
    <row r="297" customFormat="false" ht="15" hidden="false" customHeight="false" outlineLevel="0" collapsed="false">
      <c r="A297" s="10" t="str">
        <f aca="false">IF(Csuszkak!A142="","",Csuszkak!A142)</f>
        <v/>
      </c>
      <c r="B297" s="10" t="str">
        <f aca="false">IF(A297="","",COUNTIFS(Statisztika!D:D,A297,Statisztika!C:C,"valasz"))</f>
        <v/>
      </c>
      <c r="C297" s="10" t="str">
        <f aca="false">IF(A297="","",COUNTIFS(Statisztika!D:D,A297,Statisztika!G:G,"NEM"))</f>
        <v/>
      </c>
      <c r="D297" s="11" t="str">
        <f aca="false">IF(OR(A297="",B297=0),"",C297/B297)</f>
        <v/>
      </c>
      <c r="E297" s="10" t="str">
        <f aca="false">IF(A297="","",Csuszkak!C142)</f>
        <v/>
      </c>
    </row>
    <row r="298" customFormat="false" ht="15" hidden="false" customHeight="false" outlineLevel="0" collapsed="false">
      <c r="A298" s="10" t="str">
        <f aca="false">IF(Csuszkak!A143="","",Csuszkak!A143)</f>
        <v/>
      </c>
      <c r="B298" s="10" t="str">
        <f aca="false">IF(A298="","",COUNTIFS(Statisztika!D:D,A298,Statisztika!C:C,"valasz"))</f>
        <v/>
      </c>
      <c r="C298" s="10" t="str">
        <f aca="false">IF(A298="","",COUNTIFS(Statisztika!D:D,A298,Statisztika!G:G,"NEM"))</f>
        <v/>
      </c>
      <c r="D298" s="11" t="str">
        <f aca="false">IF(OR(A298="",B298=0),"",C298/B298)</f>
        <v/>
      </c>
      <c r="E298" s="10" t="str">
        <f aca="false">IF(A298="","",Csuszkak!C143)</f>
        <v/>
      </c>
    </row>
    <row r="299" customFormat="false" ht="15" hidden="false" customHeight="false" outlineLevel="0" collapsed="false">
      <c r="A299" s="10" t="str">
        <f aca="false">IF(Csuszkak!A144="","",Csuszkak!A144)</f>
        <v/>
      </c>
      <c r="B299" s="10" t="str">
        <f aca="false">IF(A299="","",COUNTIFS(Statisztika!D:D,A299,Statisztika!C:C,"valasz"))</f>
        <v/>
      </c>
      <c r="C299" s="10" t="str">
        <f aca="false">IF(A299="","",COUNTIFS(Statisztika!D:D,A299,Statisztika!G:G,"NEM"))</f>
        <v/>
      </c>
      <c r="D299" s="11" t="str">
        <f aca="false">IF(OR(A299="",B299=0),"",C299/B299)</f>
        <v/>
      </c>
      <c r="E299" s="10" t="str">
        <f aca="false">IF(A299="","",Csuszkak!C144)</f>
        <v/>
      </c>
    </row>
    <row r="300" customFormat="false" ht="15" hidden="false" customHeight="false" outlineLevel="0" collapsed="false">
      <c r="A300" s="10" t="str">
        <f aca="false">IF(Csuszkak!A145="","",Csuszkak!A145)</f>
        <v/>
      </c>
      <c r="B300" s="10" t="str">
        <f aca="false">IF(A300="","",COUNTIFS(Statisztika!D:D,A300,Statisztika!C:C,"valasz"))</f>
        <v/>
      </c>
      <c r="C300" s="10" t="str">
        <f aca="false">IF(A300="","",COUNTIFS(Statisztika!D:D,A300,Statisztika!G:G,"NEM"))</f>
        <v/>
      </c>
      <c r="D300" s="11" t="str">
        <f aca="false">IF(OR(A300="",B300=0),"",C300/B300)</f>
        <v/>
      </c>
      <c r="E300" s="10" t="str">
        <f aca="false">IF(A300="","",Csuszkak!C145)</f>
        <v/>
      </c>
    </row>
    <row r="301" customFormat="false" ht="15" hidden="false" customHeight="false" outlineLevel="0" collapsed="false">
      <c r="A301" s="10" t="str">
        <f aca="false">IF(Csuszkak!A146="","",Csuszkak!A146)</f>
        <v/>
      </c>
      <c r="B301" s="10" t="str">
        <f aca="false">IF(A301="","",COUNTIFS(Statisztika!D:D,A301,Statisztika!C:C,"valasz"))</f>
        <v/>
      </c>
      <c r="C301" s="10" t="str">
        <f aca="false">IF(A301="","",COUNTIFS(Statisztika!D:D,A301,Statisztika!G:G,"NEM"))</f>
        <v/>
      </c>
      <c r="D301" s="11" t="str">
        <f aca="false">IF(OR(A301="",B301=0),"",C301/B301)</f>
        <v/>
      </c>
      <c r="E301" s="10" t="str">
        <f aca="false">IF(A301="","",Csuszkak!C146)</f>
        <v/>
      </c>
    </row>
    <row r="302" customFormat="false" ht="15" hidden="false" customHeight="false" outlineLevel="0" collapsed="false">
      <c r="A302" s="10" t="str">
        <f aca="false">IF(Csuszkak!A147="","",Csuszkak!A147)</f>
        <v/>
      </c>
      <c r="B302" s="10" t="str">
        <f aca="false">IF(A302="","",COUNTIFS(Statisztika!D:D,A302,Statisztika!C:C,"valasz"))</f>
        <v/>
      </c>
      <c r="C302" s="10" t="str">
        <f aca="false">IF(A302="","",COUNTIFS(Statisztika!D:D,A302,Statisztika!G:G,"NEM"))</f>
        <v/>
      </c>
      <c r="D302" s="11" t="str">
        <f aca="false">IF(OR(A302="",B302=0),"",C302/B302)</f>
        <v/>
      </c>
      <c r="E302" s="10" t="str">
        <f aca="false">IF(A302="","",Csuszkak!C147)</f>
        <v/>
      </c>
    </row>
    <row r="303" customFormat="false" ht="15" hidden="false" customHeight="false" outlineLevel="0" collapsed="false">
      <c r="A303" s="10" t="str">
        <f aca="false">IF(Csuszkak!A148="","",Csuszkak!A148)</f>
        <v/>
      </c>
      <c r="B303" s="10" t="str">
        <f aca="false">IF(A303="","",COUNTIFS(Statisztika!D:D,A303,Statisztika!C:C,"valasz"))</f>
        <v/>
      </c>
      <c r="C303" s="10" t="str">
        <f aca="false">IF(A303="","",COUNTIFS(Statisztika!D:D,A303,Statisztika!G:G,"NEM"))</f>
        <v/>
      </c>
      <c r="D303" s="11" t="str">
        <f aca="false">IF(OR(A303="",B303=0),"",C303/B303)</f>
        <v/>
      </c>
      <c r="E303" s="10" t="str">
        <f aca="false">IF(A303="","",Csuszkak!C148)</f>
        <v/>
      </c>
    </row>
    <row r="304" customFormat="false" ht="15" hidden="false" customHeight="false" outlineLevel="0" collapsed="false">
      <c r="A304" s="10" t="str">
        <f aca="false">IF(Csuszkak!A149="","",Csuszkak!A149)</f>
        <v/>
      </c>
      <c r="B304" s="10" t="str">
        <f aca="false">IF(A304="","",COUNTIFS(Statisztika!D:D,A304,Statisztika!C:C,"valasz"))</f>
        <v/>
      </c>
      <c r="C304" s="10" t="str">
        <f aca="false">IF(A304="","",COUNTIFS(Statisztika!D:D,A304,Statisztika!G:G,"NEM"))</f>
        <v/>
      </c>
      <c r="D304" s="11" t="str">
        <f aca="false">IF(OR(A304="",B304=0),"",C304/B304)</f>
        <v/>
      </c>
      <c r="E304" s="10" t="str">
        <f aca="false">IF(A304="","",Csuszkak!C149)</f>
        <v/>
      </c>
    </row>
    <row r="305" customFormat="false" ht="15" hidden="false" customHeight="false" outlineLevel="0" collapsed="false">
      <c r="A305" s="10" t="str">
        <f aca="false">IF(Csuszkak!A150="","",Csuszkak!A150)</f>
        <v/>
      </c>
      <c r="B305" s="10" t="str">
        <f aca="false">IF(A305="","",COUNTIFS(Statisztika!D:D,A305,Statisztika!C:C,"valasz"))</f>
        <v/>
      </c>
      <c r="C305" s="10" t="str">
        <f aca="false">IF(A305="","",COUNTIFS(Statisztika!D:D,A305,Statisztika!G:G,"NEM"))</f>
        <v/>
      </c>
      <c r="D305" s="11" t="str">
        <f aca="false">IF(OR(A305="",B305=0),"",C305/B305)</f>
        <v/>
      </c>
      <c r="E305" s="10" t="str">
        <f aca="false">IF(A305="","",Csuszkak!C150)</f>
        <v/>
      </c>
    </row>
    <row r="306" customFormat="false" ht="15" hidden="false" customHeight="false" outlineLevel="0" collapsed="false">
      <c r="A306" s="10" t="str">
        <f aca="false">IF(Csuszkak!A151="","",Csuszkak!A151)</f>
        <v/>
      </c>
      <c r="B306" s="10" t="str">
        <f aca="false">IF(A306="","",COUNTIFS(Statisztika!D:D,A306,Statisztika!C:C,"valasz"))</f>
        <v/>
      </c>
      <c r="C306" s="10" t="str">
        <f aca="false">IF(A306="","",COUNTIFS(Statisztika!D:D,A306,Statisztika!G:G,"NEM"))</f>
        <v/>
      </c>
      <c r="D306" s="11" t="str">
        <f aca="false">IF(OR(A306="",B306=0),"",C306/B306)</f>
        <v/>
      </c>
      <c r="E306" s="10" t="str">
        <f aca="false">IF(A306="","",Csuszkak!C151)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2026-10-26T22:39:17Z</dcterms:created>
  <dc:creator>openpyxl</dc:creator>
  <dc:description/>
  <dc:language>en-US</dc:language>
  <cp:lastModifiedBy/>
  <dcterms:modified xsi:type="dcterms:W3CDTF">2026-10-26T22:39:17Z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